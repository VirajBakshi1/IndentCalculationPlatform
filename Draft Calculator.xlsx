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qccs\Downloads\"/>
    </mc:Choice>
  </mc:AlternateContent>
  <xr:revisionPtr revIDLastSave="0" documentId="13_ncr:1_{95C107FB-985B-46D6-B075-893F8EED02E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MTO_RAW" sheetId="1" r:id="rId1"/>
    <sheet name="PG_CALC" sheetId="2" r:id="rId2"/>
    <sheet name="PLATE_INDENT" sheetId="3" r:id="rId3"/>
    <sheet name="HR_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1" i="2" l="1"/>
  <c r="H121" i="2" s="1"/>
  <c r="H122" i="2"/>
  <c r="H123" i="2"/>
  <c r="H124" i="2"/>
  <c r="A2" i="2"/>
  <c r="G121" i="2"/>
  <c r="B2" i="4"/>
  <c r="F299" i="2"/>
  <c r="C299" i="2"/>
  <c r="B299" i="2"/>
  <c r="A299" i="2"/>
  <c r="E299" i="2" s="1"/>
  <c r="K298" i="2"/>
  <c r="G298" i="2"/>
  <c r="F298" i="2"/>
  <c r="E298" i="2"/>
  <c r="D298" i="2"/>
  <c r="H298" i="2" s="1"/>
  <c r="C298" i="2"/>
  <c r="B298" i="2"/>
  <c r="A298" i="2"/>
  <c r="I298" i="2" s="1"/>
  <c r="I297" i="2"/>
  <c r="E297" i="2"/>
  <c r="D297" i="2"/>
  <c r="H297" i="2" s="1"/>
  <c r="C297" i="2"/>
  <c r="B297" i="2"/>
  <c r="A297" i="2"/>
  <c r="F296" i="2"/>
  <c r="C296" i="2"/>
  <c r="B296" i="2"/>
  <c r="A296" i="2"/>
  <c r="L295" i="2"/>
  <c r="J295" i="2"/>
  <c r="G295" i="2"/>
  <c r="F295" i="2"/>
  <c r="E295" i="2"/>
  <c r="D295" i="2"/>
  <c r="C295" i="2"/>
  <c r="B295" i="2"/>
  <c r="A295" i="2"/>
  <c r="I295" i="2" s="1"/>
  <c r="M295" i="2" s="1"/>
  <c r="I294" i="2"/>
  <c r="H294" i="2"/>
  <c r="G294" i="2"/>
  <c r="D294" i="2"/>
  <c r="C294" i="2"/>
  <c r="B294" i="2"/>
  <c r="A294" i="2"/>
  <c r="I293" i="2"/>
  <c r="G293" i="2"/>
  <c r="E293" i="2"/>
  <c r="C293" i="2"/>
  <c r="B293" i="2"/>
  <c r="A293" i="2"/>
  <c r="E292" i="2"/>
  <c r="D292" i="2"/>
  <c r="C292" i="2"/>
  <c r="B292" i="2"/>
  <c r="A292" i="2"/>
  <c r="C291" i="2"/>
  <c r="B291" i="2"/>
  <c r="A291" i="2"/>
  <c r="H290" i="2"/>
  <c r="G290" i="2"/>
  <c r="F290" i="2"/>
  <c r="E290" i="2"/>
  <c r="D290" i="2"/>
  <c r="C290" i="2"/>
  <c r="B290" i="2"/>
  <c r="A290" i="2"/>
  <c r="I290" i="2" s="1"/>
  <c r="K290" i="2" s="1"/>
  <c r="C289" i="2"/>
  <c r="B289" i="2"/>
  <c r="A289" i="2"/>
  <c r="C288" i="2"/>
  <c r="B288" i="2"/>
  <c r="A288" i="2"/>
  <c r="J287" i="2"/>
  <c r="G287" i="2"/>
  <c r="F287" i="2"/>
  <c r="E287" i="2"/>
  <c r="D287" i="2"/>
  <c r="C287" i="2"/>
  <c r="B287" i="2"/>
  <c r="A287" i="2"/>
  <c r="I287" i="2" s="1"/>
  <c r="K287" i="2" s="1"/>
  <c r="I286" i="2"/>
  <c r="C286" i="2"/>
  <c r="B286" i="2"/>
  <c r="A286" i="2"/>
  <c r="I285" i="2"/>
  <c r="F285" i="2"/>
  <c r="E285" i="2"/>
  <c r="C285" i="2"/>
  <c r="B285" i="2"/>
  <c r="A285" i="2"/>
  <c r="F284" i="2"/>
  <c r="D284" i="2"/>
  <c r="C284" i="2"/>
  <c r="B284" i="2"/>
  <c r="A284" i="2"/>
  <c r="C283" i="2"/>
  <c r="B283" i="2"/>
  <c r="A283" i="2"/>
  <c r="G282" i="2"/>
  <c r="F282" i="2"/>
  <c r="E282" i="2"/>
  <c r="D282" i="2"/>
  <c r="H282" i="2" s="1"/>
  <c r="C282" i="2"/>
  <c r="B282" i="2"/>
  <c r="A282" i="2"/>
  <c r="I282" i="2" s="1"/>
  <c r="I281" i="2"/>
  <c r="E281" i="2"/>
  <c r="D281" i="2"/>
  <c r="H281" i="2" s="1"/>
  <c r="C281" i="2"/>
  <c r="B281" i="2"/>
  <c r="A281" i="2"/>
  <c r="C280" i="2"/>
  <c r="B280" i="2"/>
  <c r="A280" i="2"/>
  <c r="G279" i="2"/>
  <c r="F279" i="2"/>
  <c r="E279" i="2"/>
  <c r="D279" i="2"/>
  <c r="C279" i="2"/>
  <c r="B279" i="2"/>
  <c r="A279" i="2"/>
  <c r="I279" i="2" s="1"/>
  <c r="I278" i="2"/>
  <c r="H278" i="2"/>
  <c r="G278" i="2"/>
  <c r="D278" i="2"/>
  <c r="C278" i="2"/>
  <c r="B278" i="2"/>
  <c r="A278" i="2"/>
  <c r="C277" i="2"/>
  <c r="B277" i="2"/>
  <c r="A277" i="2"/>
  <c r="E276" i="2"/>
  <c r="D276" i="2"/>
  <c r="C276" i="2"/>
  <c r="B276" i="2"/>
  <c r="A276" i="2"/>
  <c r="C275" i="2"/>
  <c r="B275" i="2"/>
  <c r="A275" i="2"/>
  <c r="G274" i="2"/>
  <c r="F274" i="2"/>
  <c r="C274" i="2"/>
  <c r="B274" i="2"/>
  <c r="A274" i="2"/>
  <c r="I274" i="2" s="1"/>
  <c r="C273" i="2"/>
  <c r="B273" i="2"/>
  <c r="A273" i="2"/>
  <c r="C272" i="2"/>
  <c r="B272" i="2"/>
  <c r="A272" i="2"/>
  <c r="G271" i="2"/>
  <c r="E271" i="2"/>
  <c r="J271" i="2" s="1"/>
  <c r="D271" i="2"/>
  <c r="C271" i="2"/>
  <c r="B271" i="2"/>
  <c r="A271" i="2"/>
  <c r="I271" i="2" s="1"/>
  <c r="C270" i="2"/>
  <c r="B270" i="2"/>
  <c r="A270" i="2"/>
  <c r="I270" i="2" s="1"/>
  <c r="I269" i="2"/>
  <c r="C269" i="2"/>
  <c r="B269" i="2"/>
  <c r="A269" i="2"/>
  <c r="C268" i="2"/>
  <c r="B268" i="2"/>
  <c r="A268" i="2"/>
  <c r="F268" i="2" s="1"/>
  <c r="C267" i="2"/>
  <c r="B267" i="2"/>
  <c r="A267" i="2"/>
  <c r="F266" i="2"/>
  <c r="D266" i="2"/>
  <c r="H266" i="2" s="1"/>
  <c r="C266" i="2"/>
  <c r="B266" i="2"/>
  <c r="A266" i="2"/>
  <c r="I266" i="2" s="1"/>
  <c r="C265" i="2"/>
  <c r="B265" i="2"/>
  <c r="A265" i="2"/>
  <c r="I265" i="2" s="1"/>
  <c r="C264" i="2"/>
  <c r="B264" i="2"/>
  <c r="A264" i="2"/>
  <c r="E263" i="2"/>
  <c r="D263" i="2"/>
  <c r="C263" i="2"/>
  <c r="B263" i="2"/>
  <c r="A263" i="2"/>
  <c r="I263" i="2" s="1"/>
  <c r="G262" i="2"/>
  <c r="C262" i="2"/>
  <c r="B262" i="2"/>
  <c r="A262" i="2"/>
  <c r="I262" i="2" s="1"/>
  <c r="C261" i="2"/>
  <c r="B261" i="2"/>
  <c r="A261" i="2"/>
  <c r="C260" i="2"/>
  <c r="B260" i="2"/>
  <c r="A260" i="2"/>
  <c r="E260" i="2" s="1"/>
  <c r="C259" i="2"/>
  <c r="B259" i="2"/>
  <c r="A259" i="2"/>
  <c r="E258" i="2"/>
  <c r="D258" i="2"/>
  <c r="C258" i="2"/>
  <c r="B258" i="2"/>
  <c r="A258" i="2"/>
  <c r="I258" i="2" s="1"/>
  <c r="C257" i="2"/>
  <c r="B257" i="2"/>
  <c r="A257" i="2"/>
  <c r="C256" i="2"/>
  <c r="B256" i="2"/>
  <c r="A256" i="2"/>
  <c r="G255" i="2"/>
  <c r="E255" i="2"/>
  <c r="J255" i="2" s="1"/>
  <c r="C255" i="2"/>
  <c r="B255" i="2"/>
  <c r="A255" i="2"/>
  <c r="I255" i="2" s="1"/>
  <c r="C254" i="2"/>
  <c r="B254" i="2"/>
  <c r="A254" i="2"/>
  <c r="I254" i="2" s="1"/>
  <c r="C253" i="2"/>
  <c r="B253" i="2"/>
  <c r="A253" i="2"/>
  <c r="C252" i="2"/>
  <c r="B252" i="2"/>
  <c r="A252" i="2"/>
  <c r="C251" i="2"/>
  <c r="B251" i="2"/>
  <c r="A251" i="2"/>
  <c r="I251" i="2" s="1"/>
  <c r="C250" i="2"/>
  <c r="B250" i="2"/>
  <c r="A250" i="2"/>
  <c r="I250" i="2" s="1"/>
  <c r="I249" i="2"/>
  <c r="E249" i="2"/>
  <c r="D249" i="2"/>
  <c r="H249" i="2" s="1"/>
  <c r="C249" i="2"/>
  <c r="B249" i="2"/>
  <c r="A249" i="2"/>
  <c r="F248" i="2"/>
  <c r="C248" i="2"/>
  <c r="B248" i="2"/>
  <c r="A248" i="2"/>
  <c r="E247" i="2"/>
  <c r="D247" i="2"/>
  <c r="C247" i="2"/>
  <c r="B247" i="2"/>
  <c r="A247" i="2"/>
  <c r="I247" i="2" s="1"/>
  <c r="D246" i="2"/>
  <c r="H246" i="2" s="1"/>
  <c r="C246" i="2"/>
  <c r="B246" i="2"/>
  <c r="A246" i="2"/>
  <c r="I246" i="2" s="1"/>
  <c r="I245" i="2"/>
  <c r="F245" i="2"/>
  <c r="C245" i="2"/>
  <c r="B245" i="2"/>
  <c r="A245" i="2"/>
  <c r="G245" i="2" s="1"/>
  <c r="E244" i="2"/>
  <c r="D244" i="2"/>
  <c r="C244" i="2"/>
  <c r="B244" i="2"/>
  <c r="A244" i="2"/>
  <c r="C243" i="2"/>
  <c r="B243" i="2"/>
  <c r="A243" i="2"/>
  <c r="C242" i="2"/>
  <c r="B242" i="2"/>
  <c r="A242" i="2"/>
  <c r="I242" i="2" s="1"/>
  <c r="C241" i="2"/>
  <c r="B241" i="2"/>
  <c r="A241" i="2"/>
  <c r="C240" i="2"/>
  <c r="B240" i="2"/>
  <c r="A240" i="2"/>
  <c r="G239" i="2"/>
  <c r="F239" i="2"/>
  <c r="C239" i="2"/>
  <c r="B239" i="2"/>
  <c r="A239" i="2"/>
  <c r="I239" i="2" s="1"/>
  <c r="C238" i="2"/>
  <c r="B238" i="2"/>
  <c r="A238" i="2"/>
  <c r="I238" i="2" s="1"/>
  <c r="C237" i="2"/>
  <c r="B237" i="2"/>
  <c r="A237" i="2"/>
  <c r="E237" i="2" s="1"/>
  <c r="C236" i="2"/>
  <c r="B236" i="2"/>
  <c r="A236" i="2"/>
  <c r="D236" i="2" s="1"/>
  <c r="C235" i="2"/>
  <c r="B235" i="2"/>
  <c r="A235" i="2"/>
  <c r="G235" i="2" s="1"/>
  <c r="C234" i="2"/>
  <c r="B234" i="2"/>
  <c r="A234" i="2"/>
  <c r="D234" i="2" s="1"/>
  <c r="C233" i="2"/>
  <c r="B233" i="2"/>
  <c r="A233" i="2"/>
  <c r="F232" i="2"/>
  <c r="E232" i="2"/>
  <c r="C232" i="2"/>
  <c r="B232" i="2"/>
  <c r="A232" i="2"/>
  <c r="I232" i="2" s="1"/>
  <c r="I231" i="2"/>
  <c r="D231" i="2"/>
  <c r="H231" i="2" s="1"/>
  <c r="C231" i="2"/>
  <c r="B231" i="2"/>
  <c r="A231" i="2"/>
  <c r="G231" i="2" s="1"/>
  <c r="C230" i="2"/>
  <c r="B230" i="2"/>
  <c r="A230" i="2"/>
  <c r="E229" i="2"/>
  <c r="C229" i="2"/>
  <c r="B229" i="2"/>
  <c r="A229" i="2"/>
  <c r="I228" i="2"/>
  <c r="G228" i="2"/>
  <c r="F228" i="2"/>
  <c r="C228" i="2"/>
  <c r="B228" i="2"/>
  <c r="A228" i="2"/>
  <c r="G227" i="2"/>
  <c r="F227" i="2"/>
  <c r="E227" i="2"/>
  <c r="D227" i="2"/>
  <c r="C227" i="2"/>
  <c r="B227" i="2"/>
  <c r="A227" i="2"/>
  <c r="I227" i="2" s="1"/>
  <c r="C226" i="2"/>
  <c r="B226" i="2"/>
  <c r="A226" i="2"/>
  <c r="I225" i="2"/>
  <c r="H225" i="2"/>
  <c r="G225" i="2"/>
  <c r="F225" i="2"/>
  <c r="C225" i="2"/>
  <c r="B225" i="2"/>
  <c r="A225" i="2"/>
  <c r="D225" i="2" s="1"/>
  <c r="G224" i="2"/>
  <c r="F224" i="2"/>
  <c r="E224" i="2"/>
  <c r="K224" i="2" s="1"/>
  <c r="C224" i="2"/>
  <c r="B224" i="2"/>
  <c r="A224" i="2"/>
  <c r="I224" i="2" s="1"/>
  <c r="C223" i="2"/>
  <c r="B223" i="2"/>
  <c r="A223" i="2"/>
  <c r="I223" i="2" s="1"/>
  <c r="C222" i="2"/>
  <c r="B222" i="2"/>
  <c r="A222" i="2"/>
  <c r="I222" i="2" s="1"/>
  <c r="C221" i="2"/>
  <c r="B221" i="2"/>
  <c r="A221" i="2"/>
  <c r="F221" i="2" s="1"/>
  <c r="I220" i="2"/>
  <c r="C220" i="2"/>
  <c r="B220" i="2"/>
  <c r="A220" i="2"/>
  <c r="G219" i="2"/>
  <c r="F219" i="2"/>
  <c r="E219" i="2"/>
  <c r="K219" i="2" s="1"/>
  <c r="D219" i="2"/>
  <c r="H219" i="2" s="1"/>
  <c r="C219" i="2"/>
  <c r="B219" i="2"/>
  <c r="A219" i="2"/>
  <c r="I219" i="2" s="1"/>
  <c r="C218" i="2"/>
  <c r="B218" i="2"/>
  <c r="A218" i="2"/>
  <c r="I218" i="2" s="1"/>
  <c r="I217" i="2"/>
  <c r="H217" i="2"/>
  <c r="C217" i="2"/>
  <c r="B217" i="2"/>
  <c r="A217" i="2"/>
  <c r="D217" i="2" s="1"/>
  <c r="G216" i="2"/>
  <c r="F216" i="2"/>
  <c r="E216" i="2"/>
  <c r="K216" i="2" s="1"/>
  <c r="C216" i="2"/>
  <c r="B216" i="2"/>
  <c r="A216" i="2"/>
  <c r="I216" i="2" s="1"/>
  <c r="I215" i="2"/>
  <c r="G215" i="2"/>
  <c r="D215" i="2"/>
  <c r="H215" i="2" s="1"/>
  <c r="C215" i="2"/>
  <c r="B215" i="2"/>
  <c r="A215" i="2"/>
  <c r="C214" i="2"/>
  <c r="B214" i="2"/>
  <c r="A214" i="2"/>
  <c r="C213" i="2"/>
  <c r="B213" i="2"/>
  <c r="A213" i="2"/>
  <c r="H212" i="2"/>
  <c r="G212" i="2"/>
  <c r="F212" i="2"/>
  <c r="E212" i="2"/>
  <c r="C212" i="2"/>
  <c r="B212" i="2"/>
  <c r="A212" i="2"/>
  <c r="D212" i="2" s="1"/>
  <c r="C211" i="2"/>
  <c r="B211" i="2"/>
  <c r="A211" i="2"/>
  <c r="I211" i="2" s="1"/>
  <c r="F210" i="2"/>
  <c r="C210" i="2"/>
  <c r="B210" i="2"/>
  <c r="A210" i="2"/>
  <c r="I210" i="2" s="1"/>
  <c r="I209" i="2"/>
  <c r="C209" i="2"/>
  <c r="B209" i="2"/>
  <c r="A209" i="2"/>
  <c r="C208" i="2"/>
  <c r="B208" i="2"/>
  <c r="A208" i="2"/>
  <c r="E208" i="2" s="1"/>
  <c r="G207" i="2"/>
  <c r="F207" i="2"/>
  <c r="C207" i="2"/>
  <c r="B207" i="2"/>
  <c r="A207" i="2"/>
  <c r="I207" i="2" s="1"/>
  <c r="D206" i="2"/>
  <c r="H206" i="2" s="1"/>
  <c r="C206" i="2"/>
  <c r="B206" i="2"/>
  <c r="A206" i="2"/>
  <c r="I206" i="2" s="1"/>
  <c r="C205" i="2"/>
  <c r="B205" i="2"/>
  <c r="A205" i="2"/>
  <c r="C204" i="2"/>
  <c r="B204" i="2"/>
  <c r="A204" i="2"/>
  <c r="G203" i="2"/>
  <c r="C203" i="2"/>
  <c r="B203" i="2"/>
  <c r="A203" i="2"/>
  <c r="F203" i="2" s="1"/>
  <c r="G202" i="2"/>
  <c r="F202" i="2"/>
  <c r="E202" i="2"/>
  <c r="D202" i="2"/>
  <c r="H202" i="2" s="1"/>
  <c r="C202" i="2"/>
  <c r="B202" i="2"/>
  <c r="A202" i="2"/>
  <c r="I202" i="2" s="1"/>
  <c r="C201" i="2"/>
  <c r="B201" i="2"/>
  <c r="A201" i="2"/>
  <c r="I201" i="2" s="1"/>
  <c r="C200" i="2"/>
  <c r="B200" i="2"/>
  <c r="A200" i="2"/>
  <c r="E200" i="2" s="1"/>
  <c r="G199" i="2"/>
  <c r="F199" i="2"/>
  <c r="E199" i="2"/>
  <c r="C199" i="2"/>
  <c r="B199" i="2"/>
  <c r="A199" i="2"/>
  <c r="I199" i="2" s="1"/>
  <c r="C198" i="2"/>
  <c r="B198" i="2"/>
  <c r="A198" i="2"/>
  <c r="E197" i="2"/>
  <c r="C197" i="2"/>
  <c r="B197" i="2"/>
  <c r="A197" i="2"/>
  <c r="G196" i="2"/>
  <c r="F196" i="2"/>
  <c r="E196" i="2"/>
  <c r="D196" i="2"/>
  <c r="H196" i="2" s="1"/>
  <c r="C196" i="2"/>
  <c r="B196" i="2"/>
  <c r="A196" i="2"/>
  <c r="I196" i="2" s="1"/>
  <c r="C195" i="2"/>
  <c r="B195" i="2"/>
  <c r="A195" i="2"/>
  <c r="F195" i="2" s="1"/>
  <c r="C194" i="2"/>
  <c r="B194" i="2"/>
  <c r="A194" i="2"/>
  <c r="E193" i="2"/>
  <c r="C193" i="2"/>
  <c r="B193" i="2"/>
  <c r="A193" i="2"/>
  <c r="C192" i="2"/>
  <c r="B192" i="2"/>
  <c r="A192" i="2"/>
  <c r="E192" i="2" s="1"/>
  <c r="C191" i="2"/>
  <c r="B191" i="2"/>
  <c r="A191" i="2"/>
  <c r="D190" i="2"/>
  <c r="C190" i="2"/>
  <c r="B190" i="2"/>
  <c r="A190" i="2"/>
  <c r="C189" i="2"/>
  <c r="B189" i="2"/>
  <c r="A189" i="2"/>
  <c r="I189" i="2" s="1"/>
  <c r="C188" i="2"/>
  <c r="B188" i="2"/>
  <c r="A188" i="2"/>
  <c r="I187" i="2"/>
  <c r="C187" i="2"/>
  <c r="B187" i="2"/>
  <c r="A187" i="2"/>
  <c r="G187" i="2" s="1"/>
  <c r="G186" i="2"/>
  <c r="F186" i="2"/>
  <c r="C186" i="2"/>
  <c r="B186" i="2"/>
  <c r="A186" i="2"/>
  <c r="I186" i="2" s="1"/>
  <c r="D185" i="2"/>
  <c r="C185" i="2"/>
  <c r="B185" i="2"/>
  <c r="A185" i="2"/>
  <c r="C184" i="2"/>
  <c r="B184" i="2"/>
  <c r="A184" i="2"/>
  <c r="E184" i="2" s="1"/>
  <c r="C183" i="2"/>
  <c r="B183" i="2"/>
  <c r="A183" i="2"/>
  <c r="F183" i="2" s="1"/>
  <c r="I182" i="2"/>
  <c r="D182" i="2"/>
  <c r="C182" i="2"/>
  <c r="B182" i="2"/>
  <c r="A182" i="2"/>
  <c r="C181" i="2"/>
  <c r="B181" i="2"/>
  <c r="A181" i="2"/>
  <c r="G180" i="2"/>
  <c r="F180" i="2"/>
  <c r="C180" i="2"/>
  <c r="B180" i="2"/>
  <c r="A180" i="2"/>
  <c r="I180" i="2" s="1"/>
  <c r="I179" i="2"/>
  <c r="E179" i="2"/>
  <c r="C179" i="2"/>
  <c r="B179" i="2"/>
  <c r="A179" i="2"/>
  <c r="G178" i="2"/>
  <c r="F178" i="2"/>
  <c r="E178" i="2"/>
  <c r="D178" i="2"/>
  <c r="H178" i="2" s="1"/>
  <c r="C178" i="2"/>
  <c r="B178" i="2"/>
  <c r="A178" i="2"/>
  <c r="I178" i="2" s="1"/>
  <c r="C177" i="2"/>
  <c r="B177" i="2"/>
  <c r="A177" i="2"/>
  <c r="G177" i="2" s="1"/>
  <c r="C176" i="2"/>
  <c r="B176" i="2"/>
  <c r="A176" i="2"/>
  <c r="E176" i="2" s="1"/>
  <c r="G175" i="2"/>
  <c r="F175" i="2"/>
  <c r="C175" i="2"/>
  <c r="B175" i="2"/>
  <c r="A175" i="2"/>
  <c r="I175" i="2" s="1"/>
  <c r="I174" i="2"/>
  <c r="F174" i="2"/>
  <c r="C174" i="2"/>
  <c r="B174" i="2"/>
  <c r="A174" i="2"/>
  <c r="G174" i="2" s="1"/>
  <c r="C173" i="2"/>
  <c r="B173" i="2"/>
  <c r="A173" i="2"/>
  <c r="G172" i="2"/>
  <c r="F172" i="2"/>
  <c r="C172" i="2"/>
  <c r="B172" i="2"/>
  <c r="A172" i="2"/>
  <c r="I172" i="2" s="1"/>
  <c r="C171" i="2"/>
  <c r="B171" i="2"/>
  <c r="A171" i="2"/>
  <c r="C170" i="2"/>
  <c r="B170" i="2"/>
  <c r="A170" i="2"/>
  <c r="I170" i="2" s="1"/>
  <c r="E169" i="2"/>
  <c r="C169" i="2"/>
  <c r="B169" i="2"/>
  <c r="A169" i="2"/>
  <c r="C168" i="2"/>
  <c r="B168" i="2"/>
  <c r="A168" i="2"/>
  <c r="E168" i="2" s="1"/>
  <c r="C167" i="2"/>
  <c r="B167" i="2"/>
  <c r="A167" i="2"/>
  <c r="D166" i="2"/>
  <c r="C166" i="2"/>
  <c r="B166" i="2"/>
  <c r="A166" i="2"/>
  <c r="G166" i="2" s="1"/>
  <c r="C165" i="2"/>
  <c r="B165" i="2"/>
  <c r="A165" i="2"/>
  <c r="D165" i="2" s="1"/>
  <c r="C164" i="2"/>
  <c r="B164" i="2"/>
  <c r="A164" i="2"/>
  <c r="I163" i="2"/>
  <c r="C163" i="2"/>
  <c r="B163" i="2"/>
  <c r="A163" i="2"/>
  <c r="F163" i="2" s="1"/>
  <c r="F162" i="2"/>
  <c r="E162" i="2"/>
  <c r="C162" i="2"/>
  <c r="B162" i="2"/>
  <c r="A162" i="2"/>
  <c r="I162" i="2" s="1"/>
  <c r="I161" i="2"/>
  <c r="D161" i="2"/>
  <c r="C161" i="2"/>
  <c r="B161" i="2"/>
  <c r="A161" i="2"/>
  <c r="G161" i="2" s="1"/>
  <c r="G160" i="2"/>
  <c r="F160" i="2"/>
  <c r="D160" i="2"/>
  <c r="H160" i="2" s="1"/>
  <c r="C160" i="2"/>
  <c r="B160" i="2"/>
  <c r="A160" i="2"/>
  <c r="E160" i="2" s="1"/>
  <c r="C159" i="2"/>
  <c r="B159" i="2"/>
  <c r="A159" i="2"/>
  <c r="E159" i="2" s="1"/>
  <c r="F158" i="2"/>
  <c r="C158" i="2"/>
  <c r="B158" i="2"/>
  <c r="A158" i="2"/>
  <c r="G158" i="2" s="1"/>
  <c r="C157" i="2"/>
  <c r="B157" i="2"/>
  <c r="A157" i="2"/>
  <c r="G157" i="2" s="1"/>
  <c r="C156" i="2"/>
  <c r="B156" i="2"/>
  <c r="A156" i="2"/>
  <c r="I156" i="2" s="1"/>
  <c r="C155" i="2"/>
  <c r="B155" i="2"/>
  <c r="A155" i="2"/>
  <c r="G155" i="2" s="1"/>
  <c r="C154" i="2"/>
  <c r="B154" i="2"/>
  <c r="A154" i="2"/>
  <c r="E153" i="2"/>
  <c r="C153" i="2"/>
  <c r="B153" i="2"/>
  <c r="A153" i="2"/>
  <c r="C152" i="2"/>
  <c r="B152" i="2"/>
  <c r="A152" i="2"/>
  <c r="C151" i="2"/>
  <c r="B151" i="2"/>
  <c r="A151" i="2"/>
  <c r="C150" i="2"/>
  <c r="B150" i="2"/>
  <c r="A150" i="2"/>
  <c r="G149" i="2"/>
  <c r="F149" i="2"/>
  <c r="C149" i="2"/>
  <c r="B149" i="2"/>
  <c r="A149" i="2"/>
  <c r="D149" i="2" s="1"/>
  <c r="G148" i="2"/>
  <c r="F148" i="2"/>
  <c r="C148" i="2"/>
  <c r="B148" i="2"/>
  <c r="A148" i="2"/>
  <c r="I148" i="2" s="1"/>
  <c r="G147" i="2"/>
  <c r="E147" i="2"/>
  <c r="C147" i="2"/>
  <c r="B147" i="2"/>
  <c r="A147" i="2"/>
  <c r="F147" i="2" s="1"/>
  <c r="D146" i="2"/>
  <c r="H146" i="2" s="1"/>
  <c r="C146" i="2"/>
  <c r="B146" i="2"/>
  <c r="A146" i="2"/>
  <c r="F146" i="2" s="1"/>
  <c r="G145" i="2"/>
  <c r="D145" i="2"/>
  <c r="C145" i="2"/>
  <c r="B145" i="2"/>
  <c r="A145" i="2"/>
  <c r="I145" i="2" s="1"/>
  <c r="I144" i="2"/>
  <c r="C144" i="2"/>
  <c r="B144" i="2"/>
  <c r="A144" i="2"/>
  <c r="E144" i="2" s="1"/>
  <c r="F143" i="2"/>
  <c r="C143" i="2"/>
  <c r="B143" i="2"/>
  <c r="A143" i="2"/>
  <c r="I143" i="2" s="1"/>
  <c r="C142" i="2"/>
  <c r="B142" i="2"/>
  <c r="A142" i="2"/>
  <c r="G142" i="2" s="1"/>
  <c r="G141" i="2"/>
  <c r="F141" i="2"/>
  <c r="C141" i="2"/>
  <c r="B141" i="2"/>
  <c r="A141" i="2"/>
  <c r="F140" i="2"/>
  <c r="E140" i="2"/>
  <c r="C140" i="2"/>
  <c r="B140" i="2"/>
  <c r="A140" i="2"/>
  <c r="I140" i="2" s="1"/>
  <c r="C139" i="2"/>
  <c r="B139" i="2"/>
  <c r="A139" i="2"/>
  <c r="G139" i="2" s="1"/>
  <c r="C138" i="2"/>
  <c r="B138" i="2"/>
  <c r="A138" i="2"/>
  <c r="I138" i="2" s="1"/>
  <c r="C137" i="2"/>
  <c r="B137" i="2"/>
  <c r="A137" i="2"/>
  <c r="F137" i="2" s="1"/>
  <c r="C136" i="2"/>
  <c r="B136" i="2"/>
  <c r="A136" i="2"/>
  <c r="I136" i="2" s="1"/>
  <c r="C135" i="2"/>
  <c r="B135" i="2"/>
  <c r="A135" i="2"/>
  <c r="C134" i="2"/>
  <c r="B134" i="2"/>
  <c r="A134" i="2"/>
  <c r="I134" i="2" s="1"/>
  <c r="C133" i="2"/>
  <c r="B133" i="2"/>
  <c r="A133" i="2"/>
  <c r="I133" i="2" s="1"/>
  <c r="C132" i="2"/>
  <c r="B132" i="2"/>
  <c r="A132" i="2"/>
  <c r="I132" i="2" s="1"/>
  <c r="C131" i="2"/>
  <c r="B131" i="2"/>
  <c r="A131" i="2"/>
  <c r="G130" i="2"/>
  <c r="F130" i="2"/>
  <c r="C130" i="2"/>
  <c r="B130" i="2"/>
  <c r="A130" i="2"/>
  <c r="I130" i="2" s="1"/>
  <c r="G129" i="2"/>
  <c r="C129" i="2"/>
  <c r="B129" i="2"/>
  <c r="A129" i="2"/>
  <c r="C128" i="2"/>
  <c r="B128" i="2"/>
  <c r="A128" i="2"/>
  <c r="C127" i="2"/>
  <c r="B127" i="2"/>
  <c r="A127" i="2"/>
  <c r="E127" i="2" s="1"/>
  <c r="F126" i="2"/>
  <c r="E126" i="2"/>
  <c r="D126" i="2"/>
  <c r="H126" i="2" s="1"/>
  <c r="C126" i="2"/>
  <c r="B126" i="2"/>
  <c r="A126" i="2"/>
  <c r="G126" i="2" s="1"/>
  <c r="C125" i="2"/>
  <c r="B125" i="2"/>
  <c r="A125" i="2"/>
  <c r="C124" i="2"/>
  <c r="B124" i="2"/>
  <c r="A124" i="2"/>
  <c r="C123" i="2"/>
  <c r="B123" i="2"/>
  <c r="A123" i="2"/>
  <c r="I123" i="2" s="1"/>
  <c r="I122" i="2"/>
  <c r="E122" i="2"/>
  <c r="C122" i="2"/>
  <c r="B122" i="2"/>
  <c r="A122" i="2"/>
  <c r="C121" i="2"/>
  <c r="B121" i="2"/>
  <c r="A121" i="2"/>
  <c r="G120" i="2"/>
  <c r="C120" i="2"/>
  <c r="B120" i="2"/>
  <c r="A120" i="2"/>
  <c r="I120" i="2" s="1"/>
  <c r="C119" i="2"/>
  <c r="B119" i="2"/>
  <c r="A119" i="2"/>
  <c r="C118" i="2"/>
  <c r="B118" i="2"/>
  <c r="A118" i="2"/>
  <c r="D118" i="2" s="1"/>
  <c r="G117" i="2"/>
  <c r="C117" i="2"/>
  <c r="B117" i="2"/>
  <c r="A117" i="2"/>
  <c r="I117" i="2" s="1"/>
  <c r="I116" i="2"/>
  <c r="C116" i="2"/>
  <c r="B116" i="2"/>
  <c r="A116" i="2"/>
  <c r="G116" i="2" s="1"/>
  <c r="F115" i="2"/>
  <c r="C115" i="2"/>
  <c r="B115" i="2"/>
  <c r="A115" i="2"/>
  <c r="G115" i="2" s="1"/>
  <c r="C114" i="2"/>
  <c r="B114" i="2"/>
  <c r="A114" i="2"/>
  <c r="I114" i="2" s="1"/>
  <c r="I113" i="2"/>
  <c r="G113" i="2"/>
  <c r="F113" i="2"/>
  <c r="C113" i="2"/>
  <c r="B113" i="2"/>
  <c r="A113" i="2"/>
  <c r="F112" i="2"/>
  <c r="E112" i="2"/>
  <c r="D112" i="2"/>
  <c r="C112" i="2"/>
  <c r="B112" i="2"/>
  <c r="A112" i="2"/>
  <c r="I112" i="2" s="1"/>
  <c r="D111" i="2"/>
  <c r="C111" i="2"/>
  <c r="B111" i="2"/>
  <c r="A111" i="2"/>
  <c r="I111" i="2" s="1"/>
  <c r="C110" i="2"/>
  <c r="B110" i="2"/>
  <c r="A110" i="2"/>
  <c r="C109" i="2"/>
  <c r="B109" i="2"/>
  <c r="A109" i="2"/>
  <c r="C108" i="2"/>
  <c r="B108" i="2"/>
  <c r="A108" i="2"/>
  <c r="D108" i="2" s="1"/>
  <c r="D107" i="2"/>
  <c r="C107" i="2"/>
  <c r="B107" i="2"/>
  <c r="A107" i="2"/>
  <c r="I107" i="2" s="1"/>
  <c r="C106" i="2"/>
  <c r="B106" i="2"/>
  <c r="A106" i="2"/>
  <c r="I106" i="2" s="1"/>
  <c r="C105" i="2"/>
  <c r="B105" i="2"/>
  <c r="A105" i="2"/>
  <c r="D104" i="2"/>
  <c r="H104" i="2" s="1"/>
  <c r="C104" i="2"/>
  <c r="B104" i="2"/>
  <c r="A104" i="2"/>
  <c r="I104" i="2" s="1"/>
  <c r="D103" i="2"/>
  <c r="H103" i="2" s="1"/>
  <c r="C103" i="2"/>
  <c r="B103" i="2"/>
  <c r="A103" i="2"/>
  <c r="I102" i="2"/>
  <c r="G102" i="2"/>
  <c r="C102" i="2"/>
  <c r="B102" i="2"/>
  <c r="A102" i="2"/>
  <c r="D102" i="2" s="1"/>
  <c r="D101" i="2"/>
  <c r="C101" i="2"/>
  <c r="B101" i="2"/>
  <c r="A101" i="2"/>
  <c r="I101" i="2" s="1"/>
  <c r="C100" i="2"/>
  <c r="B100" i="2"/>
  <c r="A100" i="2"/>
  <c r="C99" i="2"/>
  <c r="B99" i="2"/>
  <c r="A99" i="2"/>
  <c r="C98" i="2"/>
  <c r="B98" i="2"/>
  <c r="A98" i="2"/>
  <c r="I97" i="2"/>
  <c r="G97" i="2"/>
  <c r="F97" i="2"/>
  <c r="C97" i="2"/>
  <c r="B97" i="2"/>
  <c r="A97" i="2"/>
  <c r="H96" i="2"/>
  <c r="G96" i="2"/>
  <c r="F96" i="2"/>
  <c r="E96" i="2"/>
  <c r="L96" i="2" s="1"/>
  <c r="D96" i="2"/>
  <c r="C96" i="2"/>
  <c r="B96" i="2"/>
  <c r="A96" i="2"/>
  <c r="I96" i="2" s="1"/>
  <c r="E95" i="2"/>
  <c r="D95" i="2"/>
  <c r="C95" i="2"/>
  <c r="B95" i="2"/>
  <c r="A95" i="2"/>
  <c r="I95" i="2" s="1"/>
  <c r="E94" i="2"/>
  <c r="C94" i="2"/>
  <c r="B94" i="2"/>
  <c r="A94" i="2"/>
  <c r="D94" i="2" s="1"/>
  <c r="D93" i="2"/>
  <c r="C93" i="2"/>
  <c r="B93" i="2"/>
  <c r="A93" i="2"/>
  <c r="I93" i="2" s="1"/>
  <c r="C92" i="2"/>
  <c r="B92" i="2"/>
  <c r="A92" i="2"/>
  <c r="I92" i="2" s="1"/>
  <c r="G91" i="2"/>
  <c r="F91" i="2"/>
  <c r="E91" i="2"/>
  <c r="D91" i="2"/>
  <c r="C91" i="2"/>
  <c r="B91" i="2"/>
  <c r="A91" i="2"/>
  <c r="I91" i="2" s="1"/>
  <c r="I90" i="2"/>
  <c r="E90" i="2"/>
  <c r="C90" i="2"/>
  <c r="B90" i="2"/>
  <c r="A90" i="2"/>
  <c r="C89" i="2"/>
  <c r="B89" i="2"/>
  <c r="A89" i="2"/>
  <c r="G88" i="2"/>
  <c r="F88" i="2"/>
  <c r="E88" i="2"/>
  <c r="D88" i="2"/>
  <c r="H88" i="2" s="1"/>
  <c r="C88" i="2"/>
  <c r="B88" i="2"/>
  <c r="A88" i="2"/>
  <c r="I88" i="2" s="1"/>
  <c r="E87" i="2"/>
  <c r="D87" i="2"/>
  <c r="H87" i="2" s="1"/>
  <c r="C87" i="2"/>
  <c r="B87" i="2"/>
  <c r="A87" i="2"/>
  <c r="I87" i="2" s="1"/>
  <c r="C86" i="2"/>
  <c r="B86" i="2"/>
  <c r="A86" i="2"/>
  <c r="C85" i="2"/>
  <c r="B85" i="2"/>
  <c r="A85" i="2"/>
  <c r="C84" i="2"/>
  <c r="B84" i="2"/>
  <c r="A84" i="2"/>
  <c r="I84" i="2" s="1"/>
  <c r="C83" i="2"/>
  <c r="B83" i="2"/>
  <c r="A83" i="2"/>
  <c r="D83" i="2" s="1"/>
  <c r="C82" i="2"/>
  <c r="B82" i="2"/>
  <c r="A82" i="2"/>
  <c r="I81" i="2"/>
  <c r="G81" i="2"/>
  <c r="F81" i="2"/>
  <c r="C81" i="2"/>
  <c r="B81" i="2"/>
  <c r="A81" i="2"/>
  <c r="H80" i="2"/>
  <c r="G80" i="2"/>
  <c r="F80" i="2"/>
  <c r="E80" i="2"/>
  <c r="D80" i="2"/>
  <c r="C80" i="2"/>
  <c r="B80" i="2"/>
  <c r="A80" i="2"/>
  <c r="I80" i="2" s="1"/>
  <c r="C79" i="2"/>
  <c r="B79" i="2"/>
  <c r="A79" i="2"/>
  <c r="E78" i="2"/>
  <c r="C78" i="2"/>
  <c r="B78" i="2"/>
  <c r="A78" i="2"/>
  <c r="G77" i="2"/>
  <c r="F77" i="2"/>
  <c r="E77" i="2"/>
  <c r="D77" i="2"/>
  <c r="C77" i="2"/>
  <c r="B77" i="2"/>
  <c r="A77" i="2"/>
  <c r="I77" i="2" s="1"/>
  <c r="F76" i="2"/>
  <c r="D76" i="2"/>
  <c r="H76" i="2" s="1"/>
  <c r="C76" i="2"/>
  <c r="B76" i="2"/>
  <c r="A76" i="2"/>
  <c r="I76" i="2" s="1"/>
  <c r="C75" i="2"/>
  <c r="B75" i="2"/>
  <c r="A75" i="2"/>
  <c r="F75" i="2" s="1"/>
  <c r="I74" i="2"/>
  <c r="E74" i="2"/>
  <c r="D74" i="2"/>
  <c r="H74" i="2" s="1"/>
  <c r="C74" i="2"/>
  <c r="B74" i="2"/>
  <c r="A74" i="2"/>
  <c r="H73" i="2"/>
  <c r="G73" i="2"/>
  <c r="F73" i="2"/>
  <c r="E73" i="2"/>
  <c r="C73" i="2"/>
  <c r="B73" i="2"/>
  <c r="A73" i="2"/>
  <c r="D73" i="2" s="1"/>
  <c r="G72" i="2"/>
  <c r="C72" i="2"/>
  <c r="B72" i="2"/>
  <c r="A72" i="2"/>
  <c r="I72" i="2" s="1"/>
  <c r="I71" i="2"/>
  <c r="C71" i="2"/>
  <c r="B71" i="2"/>
  <c r="A71" i="2"/>
  <c r="I70" i="2"/>
  <c r="L70" i="2" s="1"/>
  <c r="G70" i="2"/>
  <c r="C70" i="2"/>
  <c r="B70" i="2"/>
  <c r="A70" i="2"/>
  <c r="E70" i="2" s="1"/>
  <c r="I69" i="2"/>
  <c r="G69" i="2"/>
  <c r="C69" i="2"/>
  <c r="B69" i="2"/>
  <c r="A69" i="2"/>
  <c r="F69" i="2" s="1"/>
  <c r="I68" i="2"/>
  <c r="G68" i="2"/>
  <c r="F68" i="2"/>
  <c r="C68" i="2"/>
  <c r="B68" i="2"/>
  <c r="A68" i="2"/>
  <c r="G67" i="2"/>
  <c r="F67" i="2"/>
  <c r="C67" i="2"/>
  <c r="B67" i="2"/>
  <c r="A67" i="2"/>
  <c r="I67" i="2" s="1"/>
  <c r="C66" i="2"/>
  <c r="B66" i="2"/>
  <c r="A66" i="2"/>
  <c r="E66" i="2" s="1"/>
  <c r="I65" i="2"/>
  <c r="C65" i="2"/>
  <c r="B65" i="2"/>
  <c r="A65" i="2"/>
  <c r="G65" i="2" s="1"/>
  <c r="G64" i="2"/>
  <c r="C64" i="2"/>
  <c r="B64" i="2"/>
  <c r="A64" i="2"/>
  <c r="I64" i="2" s="1"/>
  <c r="D63" i="2"/>
  <c r="C63" i="2"/>
  <c r="B63" i="2"/>
  <c r="A63" i="2"/>
  <c r="D62" i="2"/>
  <c r="H62" i="2" s="1"/>
  <c r="C62" i="2"/>
  <c r="B62" i="2"/>
  <c r="A62" i="2"/>
  <c r="I62" i="2" s="1"/>
  <c r="C61" i="2"/>
  <c r="B61" i="2"/>
  <c r="A61" i="2"/>
  <c r="I61" i="2" s="1"/>
  <c r="I60" i="2"/>
  <c r="D60" i="2"/>
  <c r="C60" i="2"/>
  <c r="B60" i="2"/>
  <c r="A60" i="2"/>
  <c r="E60" i="2" s="1"/>
  <c r="H59" i="2"/>
  <c r="G59" i="2"/>
  <c r="E59" i="2"/>
  <c r="D59" i="2"/>
  <c r="C59" i="2"/>
  <c r="B59" i="2"/>
  <c r="A59" i="2"/>
  <c r="F59" i="2" s="1"/>
  <c r="C58" i="2"/>
  <c r="B58" i="2"/>
  <c r="A58" i="2"/>
  <c r="G58" i="2" s="1"/>
  <c r="C57" i="2"/>
  <c r="B57" i="2"/>
  <c r="A57" i="2"/>
  <c r="D56" i="2"/>
  <c r="C56" i="2"/>
  <c r="B56" i="2"/>
  <c r="A56" i="2"/>
  <c r="I56" i="2" s="1"/>
  <c r="I55" i="2"/>
  <c r="E55" i="2"/>
  <c r="D55" i="2"/>
  <c r="H55" i="2" s="1"/>
  <c r="C55" i="2"/>
  <c r="B55" i="2"/>
  <c r="A55" i="2"/>
  <c r="F55" i="2" s="1"/>
  <c r="C54" i="2"/>
  <c r="B54" i="2"/>
  <c r="A54" i="2"/>
  <c r="G53" i="2"/>
  <c r="C53" i="2"/>
  <c r="B53" i="2"/>
  <c r="A53" i="2"/>
  <c r="I53" i="2" s="1"/>
  <c r="D52" i="2"/>
  <c r="H52" i="2" s="1"/>
  <c r="C52" i="2"/>
  <c r="B52" i="2"/>
  <c r="A52" i="2"/>
  <c r="G52" i="2" s="1"/>
  <c r="C51" i="2"/>
  <c r="B51" i="2"/>
  <c r="A51" i="2"/>
  <c r="C50" i="2"/>
  <c r="B50" i="2"/>
  <c r="A50" i="2"/>
  <c r="G49" i="2"/>
  <c r="C49" i="2"/>
  <c r="B49" i="2"/>
  <c r="A49" i="2"/>
  <c r="F49" i="2" s="1"/>
  <c r="G48" i="2"/>
  <c r="E48" i="2"/>
  <c r="K48" i="2" s="1"/>
  <c r="D48" i="2"/>
  <c r="H48" i="2" s="1"/>
  <c r="C48" i="2"/>
  <c r="B48" i="2"/>
  <c r="A48" i="2"/>
  <c r="I48" i="2" s="1"/>
  <c r="C47" i="2"/>
  <c r="B47" i="2"/>
  <c r="A47" i="2"/>
  <c r="G46" i="2"/>
  <c r="F46" i="2"/>
  <c r="C46" i="2"/>
  <c r="B46" i="2"/>
  <c r="A46" i="2"/>
  <c r="E46" i="2" s="1"/>
  <c r="D45" i="2"/>
  <c r="H45" i="2" s="1"/>
  <c r="C45" i="2"/>
  <c r="B45" i="2"/>
  <c r="A45" i="2"/>
  <c r="I45" i="2" s="1"/>
  <c r="C44" i="2"/>
  <c r="B44" i="2"/>
  <c r="A44" i="2"/>
  <c r="G43" i="2"/>
  <c r="E43" i="2"/>
  <c r="C43" i="2"/>
  <c r="B43" i="2"/>
  <c r="A43" i="2"/>
  <c r="D43" i="2" s="1"/>
  <c r="E42" i="2"/>
  <c r="D42" i="2"/>
  <c r="H42" i="2" s="1"/>
  <c r="C42" i="2"/>
  <c r="B42" i="2"/>
  <c r="A42" i="2"/>
  <c r="G42" i="2" s="1"/>
  <c r="C41" i="2"/>
  <c r="B41" i="2"/>
  <c r="A41" i="2"/>
  <c r="G40" i="2"/>
  <c r="F40" i="2"/>
  <c r="E40" i="2"/>
  <c r="D40" i="2"/>
  <c r="H40" i="2" s="1"/>
  <c r="C40" i="2"/>
  <c r="B40" i="2"/>
  <c r="A40" i="2"/>
  <c r="C39" i="2"/>
  <c r="B39" i="2"/>
  <c r="A39" i="2"/>
  <c r="G38" i="2"/>
  <c r="F38" i="2"/>
  <c r="C38" i="2"/>
  <c r="B38" i="2"/>
  <c r="A38" i="2"/>
  <c r="E38" i="2" s="1"/>
  <c r="G37" i="2"/>
  <c r="F37" i="2"/>
  <c r="E37" i="2"/>
  <c r="D37" i="2"/>
  <c r="H37" i="2" s="1"/>
  <c r="C37" i="2"/>
  <c r="B37" i="2"/>
  <c r="A37" i="2"/>
  <c r="D36" i="2"/>
  <c r="C36" i="2"/>
  <c r="B36" i="2"/>
  <c r="A36" i="2"/>
  <c r="G36" i="2" s="1"/>
  <c r="C35" i="2"/>
  <c r="B35" i="2"/>
  <c r="A35" i="2"/>
  <c r="G34" i="2"/>
  <c r="F34" i="2"/>
  <c r="E34" i="2"/>
  <c r="D34" i="2"/>
  <c r="H34" i="2" s="1"/>
  <c r="C34" i="2"/>
  <c r="B34" i="2"/>
  <c r="A34" i="2"/>
  <c r="G33" i="2"/>
  <c r="C33" i="2"/>
  <c r="B33" i="2"/>
  <c r="A33" i="2"/>
  <c r="F33" i="2" s="1"/>
  <c r="C32" i="2"/>
  <c r="B32" i="2"/>
  <c r="A32" i="2"/>
  <c r="C31" i="2"/>
  <c r="B31" i="2"/>
  <c r="A31" i="2"/>
  <c r="C30" i="2"/>
  <c r="B30" i="2"/>
  <c r="A30" i="2"/>
  <c r="G29" i="2"/>
  <c r="C29" i="2"/>
  <c r="B29" i="2"/>
  <c r="A29" i="2"/>
  <c r="D28" i="2"/>
  <c r="H28" i="2" s="1"/>
  <c r="C28" i="2"/>
  <c r="B28" i="2"/>
  <c r="A28" i="2"/>
  <c r="G28" i="2" s="1"/>
  <c r="E27" i="2"/>
  <c r="C27" i="2"/>
  <c r="B27" i="2"/>
  <c r="A27" i="2"/>
  <c r="C26" i="2"/>
  <c r="B26" i="2"/>
  <c r="A26" i="2"/>
  <c r="G25" i="2"/>
  <c r="C25" i="2"/>
  <c r="B25" i="2"/>
  <c r="A25" i="2"/>
  <c r="F25" i="2" s="1"/>
  <c r="G24" i="2"/>
  <c r="F24" i="2"/>
  <c r="E24" i="2"/>
  <c r="D24" i="2"/>
  <c r="H24" i="2" s="1"/>
  <c r="C24" i="2"/>
  <c r="B24" i="2"/>
  <c r="A24" i="2"/>
  <c r="C23" i="2"/>
  <c r="B23" i="2"/>
  <c r="A23" i="2"/>
  <c r="G22" i="2"/>
  <c r="F22" i="2"/>
  <c r="C22" i="2"/>
  <c r="B22" i="2"/>
  <c r="A22" i="2"/>
  <c r="E22" i="2" s="1"/>
  <c r="E21" i="2"/>
  <c r="D21" i="2"/>
  <c r="H21" i="2" s="1"/>
  <c r="C21" i="2"/>
  <c r="B21" i="2"/>
  <c r="A21" i="2"/>
  <c r="G21" i="2" s="1"/>
  <c r="C20" i="2"/>
  <c r="B20" i="2"/>
  <c r="A20" i="2"/>
  <c r="G19" i="2"/>
  <c r="E19" i="2"/>
  <c r="C19" i="2"/>
  <c r="B19" i="2"/>
  <c r="A19" i="2"/>
  <c r="D19" i="2" s="1"/>
  <c r="F18" i="2"/>
  <c r="E18" i="2"/>
  <c r="D18" i="2"/>
  <c r="H18" i="2" s="1"/>
  <c r="C18" i="2"/>
  <c r="B18" i="2"/>
  <c r="A18" i="2"/>
  <c r="G18" i="2" s="1"/>
  <c r="C17" i="2"/>
  <c r="B17" i="2"/>
  <c r="A17" i="2"/>
  <c r="G16" i="2"/>
  <c r="E16" i="2"/>
  <c r="C16" i="2"/>
  <c r="B16" i="2"/>
  <c r="A16" i="2"/>
  <c r="F16" i="2" s="1"/>
  <c r="C15" i="2"/>
  <c r="B15" i="2"/>
  <c r="A15" i="2"/>
  <c r="F14" i="2"/>
  <c r="C14" i="2"/>
  <c r="B14" i="2"/>
  <c r="A14" i="2"/>
  <c r="E14" i="2" s="1"/>
  <c r="G13" i="2"/>
  <c r="F13" i="2"/>
  <c r="E13" i="2"/>
  <c r="D13" i="2"/>
  <c r="H13" i="2" s="1"/>
  <c r="C13" i="2"/>
  <c r="B13" i="2"/>
  <c r="A13" i="2"/>
  <c r="I13" i="2" s="1"/>
  <c r="K13" i="2" s="1"/>
  <c r="C12" i="2"/>
  <c r="B12" i="2"/>
  <c r="A12" i="2"/>
  <c r="G12" i="2" s="1"/>
  <c r="G11" i="2"/>
  <c r="E11" i="2"/>
  <c r="C11" i="2"/>
  <c r="B11" i="2"/>
  <c r="A11" i="2"/>
  <c r="D11" i="2" s="1"/>
  <c r="C10" i="2"/>
  <c r="B10" i="2"/>
  <c r="A10" i="2"/>
  <c r="G10" i="2" s="1"/>
  <c r="C9" i="2"/>
  <c r="B9" i="2"/>
  <c r="A9" i="2"/>
  <c r="F9" i="2" s="1"/>
  <c r="I8" i="2"/>
  <c r="F8" i="2"/>
  <c r="E8" i="2"/>
  <c r="L8" i="2" s="1"/>
  <c r="D8" i="2"/>
  <c r="H8" i="2" s="1"/>
  <c r="C8" i="2"/>
  <c r="B8" i="2"/>
  <c r="A8" i="2"/>
  <c r="G8" i="2" s="1"/>
  <c r="C7" i="2"/>
  <c r="B7" i="2"/>
  <c r="A7" i="2"/>
  <c r="G6" i="2"/>
  <c r="F6" i="2"/>
  <c r="C6" i="2"/>
  <c r="B6" i="2"/>
  <c r="A6" i="2"/>
  <c r="E6" i="2" s="1"/>
  <c r="F5" i="2"/>
  <c r="E5" i="2"/>
  <c r="D5" i="2"/>
  <c r="H5" i="2" s="1"/>
  <c r="C5" i="2"/>
  <c r="B5" i="2"/>
  <c r="A5" i="2"/>
  <c r="G5" i="2" s="1"/>
  <c r="C4" i="2"/>
  <c r="B4" i="2"/>
  <c r="A4" i="2"/>
  <c r="G4" i="2" s="1"/>
  <c r="F3" i="2"/>
  <c r="E3" i="2"/>
  <c r="C3" i="2"/>
  <c r="B3" i="2"/>
  <c r="A3" i="2"/>
  <c r="D3" i="2" s="1"/>
  <c r="F2" i="2"/>
  <c r="E2" i="2"/>
  <c r="D2" i="2"/>
  <c r="H2" i="2" s="1"/>
  <c r="C2" i="2"/>
  <c r="B2" i="2"/>
  <c r="G2" i="2"/>
  <c r="D27" i="2" l="1"/>
  <c r="G27" i="2"/>
  <c r="D57" i="2"/>
  <c r="H57" i="2" s="1"/>
  <c r="I57" i="2"/>
  <c r="M57" i="2" s="1"/>
  <c r="G57" i="2"/>
  <c r="F57" i="2"/>
  <c r="E57" i="2"/>
  <c r="F71" i="2"/>
  <c r="G71" i="2"/>
  <c r="E71" i="2"/>
  <c r="D71" i="2"/>
  <c r="H71" i="2" s="1"/>
  <c r="I86" i="2"/>
  <c r="G86" i="2"/>
  <c r="I124" i="2"/>
  <c r="G124" i="2"/>
  <c r="F124" i="2"/>
  <c r="E124" i="2"/>
  <c r="D124" i="2"/>
  <c r="K124" i="2" s="1"/>
  <c r="I164" i="2"/>
  <c r="G164" i="2"/>
  <c r="M164" i="2" s="1"/>
  <c r="F164" i="2"/>
  <c r="E164" i="2"/>
  <c r="D164" i="2"/>
  <c r="H164" i="2" s="1"/>
  <c r="I191" i="2"/>
  <c r="G191" i="2"/>
  <c r="F191" i="2"/>
  <c r="E191" i="2"/>
  <c r="D191" i="2"/>
  <c r="H191" i="2" s="1"/>
  <c r="D51" i="2"/>
  <c r="G51" i="2"/>
  <c r="E51" i="2"/>
  <c r="I29" i="2"/>
  <c r="K29" i="2" s="1"/>
  <c r="F29" i="2"/>
  <c r="E29" i="2"/>
  <c r="D29" i="2"/>
  <c r="H29" i="2" s="1"/>
  <c r="D35" i="2"/>
  <c r="G35" i="2"/>
  <c r="E35" i="2"/>
  <c r="J140" i="2"/>
  <c r="K140" i="2"/>
  <c r="I205" i="2"/>
  <c r="F205" i="2"/>
  <c r="E205" i="2"/>
  <c r="I2" i="2"/>
  <c r="L2" i="2" s="1"/>
  <c r="I5" i="2"/>
  <c r="K5" i="2" s="1"/>
  <c r="D10" i="2"/>
  <c r="H10" i="2" s="1"/>
  <c r="F11" i="2"/>
  <c r="G14" i="2"/>
  <c r="G20" i="2"/>
  <c r="H20" i="2"/>
  <c r="D20" i="2"/>
  <c r="I100" i="2"/>
  <c r="G100" i="2"/>
  <c r="D100" i="2"/>
  <c r="H100" i="2" s="1"/>
  <c r="I194" i="2"/>
  <c r="L194" i="2" s="1"/>
  <c r="G194" i="2"/>
  <c r="F194" i="2"/>
  <c r="E194" i="2"/>
  <c r="D194" i="2"/>
  <c r="H194" i="2" s="1"/>
  <c r="E230" i="2"/>
  <c r="G230" i="2"/>
  <c r="F230" i="2"/>
  <c r="I32" i="2"/>
  <c r="L32" i="2" s="1"/>
  <c r="G32" i="2"/>
  <c r="F32" i="2"/>
  <c r="E32" i="2"/>
  <c r="D32" i="2"/>
  <c r="H32" i="2" s="1"/>
  <c r="G44" i="2"/>
  <c r="H44" i="2"/>
  <c r="D44" i="2"/>
  <c r="E54" i="2"/>
  <c r="G54" i="2"/>
  <c r="F54" i="2"/>
  <c r="M77" i="2"/>
  <c r="L77" i="2"/>
  <c r="F82" i="2"/>
  <c r="E82" i="2"/>
  <c r="D82" i="2"/>
  <c r="I109" i="2"/>
  <c r="G109" i="2"/>
  <c r="F109" i="2"/>
  <c r="E109" i="2"/>
  <c r="D109" i="2"/>
  <c r="K109" i="2" s="1"/>
  <c r="G125" i="2"/>
  <c r="F125" i="2"/>
  <c r="E10" i="2"/>
  <c r="F10" i="2"/>
  <c r="F17" i="2"/>
  <c r="G17" i="2"/>
  <c r="J37" i="2"/>
  <c r="I50" i="2"/>
  <c r="G50" i="2"/>
  <c r="F50" i="2"/>
  <c r="E50" i="2"/>
  <c r="D50" i="2"/>
  <c r="H50" i="2" s="1"/>
  <c r="I85" i="2"/>
  <c r="G85" i="2"/>
  <c r="F85" i="2"/>
  <c r="E85" i="2"/>
  <c r="D85" i="2"/>
  <c r="M247" i="2"/>
  <c r="E128" i="2"/>
  <c r="G128" i="2"/>
  <c r="M128" i="2" s="1"/>
  <c r="F128" i="2"/>
  <c r="D128" i="2"/>
  <c r="H128" i="2" s="1"/>
  <c r="I26" i="2"/>
  <c r="G26" i="2"/>
  <c r="F26" i="2"/>
  <c r="E26" i="2"/>
  <c r="D26" i="2"/>
  <c r="H26" i="2" s="1"/>
  <c r="E30" i="2"/>
  <c r="G30" i="2"/>
  <c r="F30" i="2"/>
  <c r="I10" i="2"/>
  <c r="G3" i="2"/>
  <c r="J5" i="2"/>
  <c r="K8" i="2"/>
  <c r="G9" i="2"/>
  <c r="I16" i="2"/>
  <c r="L16" i="2" s="1"/>
  <c r="D16" i="2"/>
  <c r="H16" i="2" s="1"/>
  <c r="F41" i="2"/>
  <c r="G41" i="2"/>
  <c r="D110" i="2"/>
  <c r="H110" i="2" s="1"/>
  <c r="G110" i="2"/>
  <c r="F110" i="2"/>
  <c r="E110" i="2"/>
  <c r="M178" i="2"/>
  <c r="L178" i="2"/>
  <c r="I188" i="2"/>
  <c r="G188" i="2"/>
  <c r="M188" i="2" s="1"/>
  <c r="F188" i="2"/>
  <c r="E188" i="2"/>
  <c r="D188" i="2"/>
  <c r="H188" i="2" s="1"/>
  <c r="I204" i="2"/>
  <c r="G204" i="2"/>
  <c r="F204" i="2"/>
  <c r="E204" i="2"/>
  <c r="D204" i="2"/>
  <c r="H204" i="2" s="1"/>
  <c r="E214" i="2"/>
  <c r="G214" i="2"/>
  <c r="F214" i="2"/>
  <c r="K120" i="2"/>
  <c r="D132" i="2"/>
  <c r="H132" i="2" s="1"/>
  <c r="E133" i="2"/>
  <c r="G140" i="2"/>
  <c r="D143" i="2"/>
  <c r="G144" i="2"/>
  <c r="K144" i="2" s="1"/>
  <c r="E145" i="2"/>
  <c r="G146" i="2"/>
  <c r="I147" i="2"/>
  <c r="M147" i="2" s="1"/>
  <c r="H149" i="2"/>
  <c r="F157" i="2"/>
  <c r="G162" i="2"/>
  <c r="E166" i="2"/>
  <c r="G232" i="2"/>
  <c r="J232" i="2" s="1"/>
  <c r="E245" i="2"/>
  <c r="K245" i="2" s="1"/>
  <c r="G246" i="2"/>
  <c r="F247" i="2"/>
  <c r="D255" i="2"/>
  <c r="F258" i="2"/>
  <c r="D262" i="2"/>
  <c r="H262" i="2" s="1"/>
  <c r="F263" i="2"/>
  <c r="E266" i="2"/>
  <c r="F271" i="2"/>
  <c r="F21" i="2"/>
  <c r="I34" i="2"/>
  <c r="H36" i="2"/>
  <c r="I40" i="2"/>
  <c r="L40" i="2" s="1"/>
  <c r="F42" i="2"/>
  <c r="E45" i="2"/>
  <c r="F48" i="2"/>
  <c r="G55" i="2"/>
  <c r="L55" i="2" s="1"/>
  <c r="E56" i="2"/>
  <c r="I59" i="2"/>
  <c r="J59" i="2" s="1"/>
  <c r="E62" i="2"/>
  <c r="I73" i="2"/>
  <c r="E93" i="2"/>
  <c r="F94" i="2"/>
  <c r="E101" i="2"/>
  <c r="L101" i="2" s="1"/>
  <c r="E104" i="2"/>
  <c r="E107" i="2"/>
  <c r="E111" i="2"/>
  <c r="G112" i="2"/>
  <c r="L112" i="2" s="1"/>
  <c r="E132" i="2"/>
  <c r="E143" i="2"/>
  <c r="L143" i="2" s="1"/>
  <c r="F145" i="2"/>
  <c r="I149" i="2"/>
  <c r="D156" i="2"/>
  <c r="H156" i="2" s="1"/>
  <c r="E165" i="2"/>
  <c r="I166" i="2"/>
  <c r="D168" i="2"/>
  <c r="J172" i="2"/>
  <c r="E177" i="2"/>
  <c r="D184" i="2"/>
  <c r="E189" i="2"/>
  <c r="F192" i="2"/>
  <c r="E201" i="2"/>
  <c r="L201" i="2" s="1"/>
  <c r="D222" i="2"/>
  <c r="H222" i="2" s="1"/>
  <c r="D242" i="2"/>
  <c r="H242" i="2" s="1"/>
  <c r="G247" i="2"/>
  <c r="L247" i="2" s="1"/>
  <c r="D250" i="2"/>
  <c r="G251" i="2"/>
  <c r="G258" i="2"/>
  <c r="G263" i="2"/>
  <c r="K263" i="2" s="1"/>
  <c r="D265" i="2"/>
  <c r="H265" i="2" s="1"/>
  <c r="I37" i="2"/>
  <c r="K37" i="2" s="1"/>
  <c r="F45" i="2"/>
  <c r="F56" i="2"/>
  <c r="F62" i="2"/>
  <c r="F93" i="2"/>
  <c r="G94" i="2"/>
  <c r="F101" i="2"/>
  <c r="F104" i="2"/>
  <c r="F107" i="2"/>
  <c r="H112" i="2"/>
  <c r="F132" i="2"/>
  <c r="E156" i="2"/>
  <c r="L162" i="2"/>
  <c r="H165" i="2"/>
  <c r="F168" i="2"/>
  <c r="F184" i="2"/>
  <c r="G192" i="2"/>
  <c r="L199" i="2"/>
  <c r="L216" i="2"/>
  <c r="E222" i="2"/>
  <c r="K232" i="2"/>
  <c r="E242" i="2"/>
  <c r="J242" i="2" s="1"/>
  <c r="E250" i="2"/>
  <c r="F255" i="2"/>
  <c r="H258" i="2"/>
  <c r="E265" i="2"/>
  <c r="G266" i="2"/>
  <c r="I18" i="2"/>
  <c r="M18" i="2" s="1"/>
  <c r="I24" i="2"/>
  <c r="L24" i="2" s="1"/>
  <c r="G45" i="2"/>
  <c r="L45" i="2" s="1"/>
  <c r="D53" i="2"/>
  <c r="H53" i="2" s="1"/>
  <c r="K55" i="2"/>
  <c r="G56" i="2"/>
  <c r="F61" i="2"/>
  <c r="G62" i="2"/>
  <c r="D64" i="2"/>
  <c r="H64" i="2" s="1"/>
  <c r="E65" i="2"/>
  <c r="D69" i="2"/>
  <c r="H69" i="2" s="1"/>
  <c r="D72" i="2"/>
  <c r="H72" i="2" s="1"/>
  <c r="G75" i="2"/>
  <c r="D84" i="2"/>
  <c r="H84" i="2" s="1"/>
  <c r="D92" i="2"/>
  <c r="G93" i="2"/>
  <c r="H94" i="2"/>
  <c r="G101" i="2"/>
  <c r="G104" i="2"/>
  <c r="L104" i="2" s="1"/>
  <c r="E106" i="2"/>
  <c r="G107" i="2"/>
  <c r="L107" i="2" s="1"/>
  <c r="D117" i="2"/>
  <c r="G118" i="2"/>
  <c r="D120" i="2"/>
  <c r="H120" i="2" s="1"/>
  <c r="E123" i="2"/>
  <c r="D131" i="2"/>
  <c r="H131" i="2" s="1"/>
  <c r="G132" i="2"/>
  <c r="K132" i="2" s="1"/>
  <c r="F136" i="2"/>
  <c r="F142" i="2"/>
  <c r="G143" i="2"/>
  <c r="F156" i="2"/>
  <c r="F159" i="2"/>
  <c r="I165" i="2"/>
  <c r="I168" i="2"/>
  <c r="E170" i="2"/>
  <c r="K170" i="2" s="1"/>
  <c r="D176" i="2"/>
  <c r="G184" i="2"/>
  <c r="G195" i="2"/>
  <c r="F208" i="2"/>
  <c r="G211" i="2"/>
  <c r="I212" i="2"/>
  <c r="D218" i="2"/>
  <c r="F222" i="2"/>
  <c r="F242" i="2"/>
  <c r="F250" i="2"/>
  <c r="K258" i="2"/>
  <c r="K271" i="2"/>
  <c r="I21" i="2"/>
  <c r="K21" i="2" s="1"/>
  <c r="I42" i="2"/>
  <c r="M42" i="2" s="1"/>
  <c r="L48" i="2"/>
  <c r="E53" i="2"/>
  <c r="K53" i="2" s="1"/>
  <c r="M55" i="2"/>
  <c r="H56" i="2"/>
  <c r="E64" i="2"/>
  <c r="L64" i="2" s="1"/>
  <c r="F65" i="2"/>
  <c r="E69" i="2"/>
  <c r="E72" i="2"/>
  <c r="G84" i="2"/>
  <c r="F114" i="2"/>
  <c r="D116" i="2"/>
  <c r="H116" i="2" s="1"/>
  <c r="E117" i="2"/>
  <c r="K117" i="2" s="1"/>
  <c r="I118" i="2"/>
  <c r="E120" i="2"/>
  <c r="M120" i="2" s="1"/>
  <c r="G123" i="2"/>
  <c r="J123" i="2" s="1"/>
  <c r="F127" i="2"/>
  <c r="D130" i="2"/>
  <c r="H130" i="2" s="1"/>
  <c r="I131" i="2"/>
  <c r="D134" i="2"/>
  <c r="F138" i="2"/>
  <c r="I142" i="2"/>
  <c r="D148" i="2"/>
  <c r="H148" i="2" s="1"/>
  <c r="G156" i="2"/>
  <c r="D158" i="2"/>
  <c r="H158" i="2" s="1"/>
  <c r="G159" i="2"/>
  <c r="J159" i="2" s="1"/>
  <c r="D163" i="2"/>
  <c r="F170" i="2"/>
  <c r="D172" i="2"/>
  <c r="H172" i="2" s="1"/>
  <c r="D175" i="2"/>
  <c r="H176" i="2"/>
  <c r="D180" i="2"/>
  <c r="H180" i="2" s="1"/>
  <c r="E183" i="2"/>
  <c r="H184" i="2"/>
  <c r="D186" i="2"/>
  <c r="H186" i="2" s="1"/>
  <c r="E187" i="2"/>
  <c r="K196" i="2"/>
  <c r="F200" i="2"/>
  <c r="D207" i="2"/>
  <c r="H207" i="2" s="1"/>
  <c r="G208" i="2"/>
  <c r="D210" i="2"/>
  <c r="H210" i="2" s="1"/>
  <c r="E218" i="2"/>
  <c r="M218" i="2" s="1"/>
  <c r="E221" i="2"/>
  <c r="G222" i="2"/>
  <c r="M222" i="2" s="1"/>
  <c r="H227" i="2"/>
  <c r="D239" i="2"/>
  <c r="G242" i="2"/>
  <c r="G250" i="2"/>
  <c r="L266" i="2"/>
  <c r="D274" i="2"/>
  <c r="H274" i="2" s="1"/>
  <c r="F53" i="2"/>
  <c r="M56" i="2"/>
  <c r="M62" i="2"/>
  <c r="F64" i="2"/>
  <c r="F72" i="2"/>
  <c r="M104" i="2"/>
  <c r="H111" i="2"/>
  <c r="F117" i="2"/>
  <c r="F120" i="2"/>
  <c r="G127" i="2"/>
  <c r="E130" i="2"/>
  <c r="M130" i="2" s="1"/>
  <c r="D140" i="2"/>
  <c r="H140" i="2" s="1"/>
  <c r="D147" i="2"/>
  <c r="H147" i="2" s="1"/>
  <c r="E148" i="2"/>
  <c r="K148" i="2" s="1"/>
  <c r="E149" i="2"/>
  <c r="M149" i="2" s="1"/>
  <c r="E155" i="2"/>
  <c r="E158" i="2"/>
  <c r="D162" i="2"/>
  <c r="H162" i="2" s="1"/>
  <c r="H163" i="2"/>
  <c r="E172" i="2"/>
  <c r="E175" i="2"/>
  <c r="K175" i="2" s="1"/>
  <c r="I176" i="2"/>
  <c r="E180" i="2"/>
  <c r="J180" i="2" s="1"/>
  <c r="E186" i="2"/>
  <c r="J186" i="2" s="1"/>
  <c r="D199" i="2"/>
  <c r="H199" i="2" s="1"/>
  <c r="G200" i="2"/>
  <c r="E207" i="2"/>
  <c r="J207" i="2" s="1"/>
  <c r="E210" i="2"/>
  <c r="D216" i="2"/>
  <c r="H216" i="2" s="1"/>
  <c r="G217" i="2"/>
  <c r="L219" i="2"/>
  <c r="D224" i="2"/>
  <c r="E225" i="2"/>
  <c r="M225" i="2" s="1"/>
  <c r="K227" i="2"/>
  <c r="D232" i="2"/>
  <c r="E239" i="2"/>
  <c r="J239" i="2" s="1"/>
  <c r="H250" i="2"/>
  <c r="K255" i="2"/>
  <c r="E274" i="2"/>
  <c r="K274" i="2" s="1"/>
  <c r="K250" i="2"/>
  <c r="M26" i="2"/>
  <c r="K32" i="2"/>
  <c r="L18" i="2"/>
  <c r="J18" i="2"/>
  <c r="K18" i="2"/>
  <c r="J29" i="2"/>
  <c r="M50" i="2"/>
  <c r="L50" i="2"/>
  <c r="K50" i="2"/>
  <c r="J50" i="2"/>
  <c r="K16" i="2"/>
  <c r="L42" i="2"/>
  <c r="J42" i="2"/>
  <c r="K42" i="2"/>
  <c r="J53" i="2"/>
  <c r="L10" i="2"/>
  <c r="K10" i="2"/>
  <c r="J10" i="2"/>
  <c r="J34" i="2"/>
  <c r="L34" i="2"/>
  <c r="K34" i="2"/>
  <c r="M10" i="2"/>
  <c r="J13" i="2"/>
  <c r="M34" i="2"/>
  <c r="K40" i="2"/>
  <c r="L26" i="2"/>
  <c r="J26" i="2"/>
  <c r="K26" i="2"/>
  <c r="I47" i="2"/>
  <c r="G98" i="2"/>
  <c r="I98" i="2"/>
  <c r="E152" i="2"/>
  <c r="G152" i="2"/>
  <c r="I152" i="2"/>
  <c r="F152" i="2"/>
  <c r="D152" i="2"/>
  <c r="H152" i="2" s="1"/>
  <c r="I4" i="2"/>
  <c r="L5" i="2"/>
  <c r="M8" i="2"/>
  <c r="L13" i="2"/>
  <c r="M16" i="2"/>
  <c r="F19" i="2"/>
  <c r="L21" i="2"/>
  <c r="M24" i="2"/>
  <c r="F27" i="2"/>
  <c r="L29" i="2"/>
  <c r="M32" i="2"/>
  <c r="F35" i="2"/>
  <c r="L37" i="2"/>
  <c r="M40" i="2"/>
  <c r="F43" i="2"/>
  <c r="I44" i="2"/>
  <c r="M48" i="2"/>
  <c r="F51" i="2"/>
  <c r="I52" i="2"/>
  <c r="L53" i="2"/>
  <c r="I58" i="2"/>
  <c r="F63" i="2"/>
  <c r="H63" i="2"/>
  <c r="G66" i="2"/>
  <c r="D66" i="2"/>
  <c r="H66" i="2" s="1"/>
  <c r="L69" i="2"/>
  <c r="J72" i="2"/>
  <c r="D78" i="2"/>
  <c r="I78" i="2"/>
  <c r="M29" i="2"/>
  <c r="K188" i="2"/>
  <c r="J80" i="2"/>
  <c r="M80" i="2"/>
  <c r="E89" i="2"/>
  <c r="D89" i="2"/>
  <c r="H89" i="2" s="1"/>
  <c r="I89" i="2"/>
  <c r="G89" i="2"/>
  <c r="F89" i="2"/>
  <c r="G99" i="2"/>
  <c r="E99" i="2"/>
  <c r="D99" i="2"/>
  <c r="H99" i="2" s="1"/>
  <c r="M13" i="2"/>
  <c r="M156" i="2"/>
  <c r="L156" i="2"/>
  <c r="K156" i="2"/>
  <c r="J156" i="2"/>
  <c r="H3" i="2"/>
  <c r="I6" i="2"/>
  <c r="M6" i="2" s="1"/>
  <c r="D7" i="2"/>
  <c r="H7" i="2" s="1"/>
  <c r="H11" i="2"/>
  <c r="I14" i="2"/>
  <c r="D15" i="2"/>
  <c r="H15" i="2" s="1"/>
  <c r="H19" i="2"/>
  <c r="I22" i="2"/>
  <c r="M22" i="2" s="1"/>
  <c r="D23" i="2"/>
  <c r="H23" i="2" s="1"/>
  <c r="H27" i="2"/>
  <c r="D31" i="2"/>
  <c r="H31" i="2" s="1"/>
  <c r="H35" i="2"/>
  <c r="I38" i="2"/>
  <c r="J38" i="2" s="1"/>
  <c r="D39" i="2"/>
  <c r="H39" i="2" s="1"/>
  <c r="H43" i="2"/>
  <c r="I46" i="2"/>
  <c r="K46" i="2" s="1"/>
  <c r="D47" i="2"/>
  <c r="H47" i="2" s="1"/>
  <c r="H51" i="2"/>
  <c r="I54" i="2"/>
  <c r="K54" i="2" s="1"/>
  <c r="J56" i="2"/>
  <c r="H61" i="2"/>
  <c r="G61" i="2"/>
  <c r="K70" i="2"/>
  <c r="E83" i="2"/>
  <c r="K85" i="2"/>
  <c r="J88" i="2"/>
  <c r="L88" i="2"/>
  <c r="J96" i="2"/>
  <c r="M96" i="2"/>
  <c r="D98" i="2"/>
  <c r="H98" i="2" s="1"/>
  <c r="F99" i="2"/>
  <c r="M145" i="2"/>
  <c r="L145" i="2"/>
  <c r="D181" i="2"/>
  <c r="H181" i="2" s="1"/>
  <c r="I181" i="2"/>
  <c r="G181" i="2"/>
  <c r="E181" i="2"/>
  <c r="F181" i="2"/>
  <c r="M239" i="2"/>
  <c r="L239" i="2"/>
  <c r="K239" i="2"/>
  <c r="E267" i="2"/>
  <c r="D267" i="2"/>
  <c r="F267" i="2"/>
  <c r="G267" i="2"/>
  <c r="I267" i="2"/>
  <c r="H267" i="2"/>
  <c r="L73" i="2"/>
  <c r="J73" i="2"/>
  <c r="I9" i="2"/>
  <c r="M37" i="2"/>
  <c r="M53" i="2"/>
  <c r="K62" i="2"/>
  <c r="L62" i="2"/>
  <c r="I75" i="2"/>
  <c r="G79" i="2"/>
  <c r="F79" i="2"/>
  <c r="H79" i="2"/>
  <c r="K91" i="2"/>
  <c r="J91" i="2"/>
  <c r="M91" i="2"/>
  <c r="D4" i="2"/>
  <c r="H4" i="2" s="1"/>
  <c r="I11" i="2"/>
  <c r="L11" i="2" s="1"/>
  <c r="E23" i="2"/>
  <c r="I23" i="2" s="1"/>
  <c r="E31" i="2"/>
  <c r="I31" i="2" s="1"/>
  <c r="E47" i="2"/>
  <c r="I51" i="2"/>
  <c r="L51" i="2" s="1"/>
  <c r="E98" i="2"/>
  <c r="F15" i="2"/>
  <c r="E20" i="2"/>
  <c r="I20" i="2" s="1"/>
  <c r="F23" i="2"/>
  <c r="D25" i="2"/>
  <c r="H25" i="2" s="1"/>
  <c r="E28" i="2"/>
  <c r="I28" i="2" s="1"/>
  <c r="F31" i="2"/>
  <c r="D33" i="2"/>
  <c r="H33" i="2" s="1"/>
  <c r="E36" i="2"/>
  <c r="I36" i="2" s="1"/>
  <c r="F39" i="2"/>
  <c r="D41" i="2"/>
  <c r="H41" i="2" s="1"/>
  <c r="E44" i="2"/>
  <c r="F47" i="2"/>
  <c r="D49" i="2"/>
  <c r="H49" i="2" s="1"/>
  <c r="J51" i="2"/>
  <c r="E52" i="2"/>
  <c r="L56" i="2"/>
  <c r="D58" i="2"/>
  <c r="H58" i="2" s="1"/>
  <c r="F60" i="2"/>
  <c r="E63" i="2"/>
  <c r="K64" i="2"/>
  <c r="F66" i="2"/>
  <c r="M70" i="2"/>
  <c r="K73" i="2"/>
  <c r="D75" i="2"/>
  <c r="H75" i="2" s="1"/>
  <c r="E76" i="2"/>
  <c r="G76" i="2"/>
  <c r="F78" i="2"/>
  <c r="D79" i="2"/>
  <c r="L80" i="2"/>
  <c r="G83" i="2"/>
  <c r="L91" i="2"/>
  <c r="K93" i="2"/>
  <c r="F98" i="2"/>
  <c r="I99" i="2"/>
  <c r="G151" i="2"/>
  <c r="F151" i="2"/>
  <c r="E151" i="2"/>
  <c r="D151" i="2"/>
  <c r="H151" i="2" s="1"/>
  <c r="I151" i="2"/>
  <c r="M11" i="2"/>
  <c r="M51" i="2"/>
  <c r="M5" i="2"/>
  <c r="M21" i="2"/>
  <c r="I41" i="2"/>
  <c r="I49" i="2"/>
  <c r="F108" i="2"/>
  <c r="E108" i="2"/>
  <c r="H108" i="2"/>
  <c r="G108" i="2"/>
  <c r="G150" i="2"/>
  <c r="H150" i="2"/>
  <c r="F150" i="2"/>
  <c r="I150" i="2"/>
  <c r="E150" i="2"/>
  <c r="D150" i="2"/>
  <c r="I3" i="2"/>
  <c r="M3" i="2" s="1"/>
  <c r="E7" i="2"/>
  <c r="I7" i="2" s="1"/>
  <c r="D12" i="2"/>
  <c r="H12" i="2" s="1"/>
  <c r="I19" i="2"/>
  <c r="J19" i="2" s="1"/>
  <c r="I27" i="2"/>
  <c r="M27" i="2" s="1"/>
  <c r="I35" i="2"/>
  <c r="L35" i="2" s="1"/>
  <c r="I43" i="2"/>
  <c r="M43" i="2" s="1"/>
  <c r="F83" i="2"/>
  <c r="E4" i="2"/>
  <c r="J11" i="2"/>
  <c r="D17" i="2"/>
  <c r="H17" i="2" s="1"/>
  <c r="K3" i="2"/>
  <c r="F4" i="2"/>
  <c r="D6" i="2"/>
  <c r="H6" i="2" s="1"/>
  <c r="G7" i="2"/>
  <c r="J8" i="2"/>
  <c r="E9" i="2"/>
  <c r="K11" i="2"/>
  <c r="F12" i="2"/>
  <c r="D14" i="2"/>
  <c r="H14" i="2" s="1"/>
  <c r="G15" i="2"/>
  <c r="J16" i="2"/>
  <c r="E17" i="2"/>
  <c r="I17" i="2" s="1"/>
  <c r="F20" i="2"/>
  <c r="D22" i="2"/>
  <c r="H22" i="2" s="1"/>
  <c r="G23" i="2"/>
  <c r="J24" i="2"/>
  <c r="E25" i="2"/>
  <c r="I25" i="2" s="1"/>
  <c r="F28" i="2"/>
  <c r="D30" i="2"/>
  <c r="H30" i="2" s="1"/>
  <c r="G31" i="2"/>
  <c r="J32" i="2"/>
  <c r="E33" i="2"/>
  <c r="I33" i="2" s="1"/>
  <c r="K35" i="2"/>
  <c r="F36" i="2"/>
  <c r="D38" i="2"/>
  <c r="H38" i="2" s="1"/>
  <c r="G39" i="2"/>
  <c r="J40" i="2"/>
  <c r="E41" i="2"/>
  <c r="K43" i="2"/>
  <c r="F44" i="2"/>
  <c r="D46" i="2"/>
  <c r="H46" i="2" s="1"/>
  <c r="G47" i="2"/>
  <c r="J48" i="2"/>
  <c r="E49" i="2"/>
  <c r="K51" i="2"/>
  <c r="F52" i="2"/>
  <c r="D54" i="2"/>
  <c r="H54" i="2" s="1"/>
  <c r="E58" i="2"/>
  <c r="K59" i="2"/>
  <c r="G60" i="2"/>
  <c r="M60" i="2" s="1"/>
  <c r="D61" i="2"/>
  <c r="G63" i="2"/>
  <c r="M64" i="2"/>
  <c r="J65" i="2"/>
  <c r="D67" i="2"/>
  <c r="H67" i="2" s="1"/>
  <c r="E68" i="2"/>
  <c r="D68" i="2"/>
  <c r="H68" i="2" s="1"/>
  <c r="D70" i="2"/>
  <c r="H70" i="2" s="1"/>
  <c r="J70" i="2" s="1"/>
  <c r="M73" i="2"/>
  <c r="E75" i="2"/>
  <c r="J77" i="2"/>
  <c r="G78" i="2"/>
  <c r="E79" i="2"/>
  <c r="E81" i="2"/>
  <c r="D81" i="2"/>
  <c r="H81" i="2" s="1"/>
  <c r="H82" i="2"/>
  <c r="G82" i="2"/>
  <c r="I82" i="2"/>
  <c r="M82" i="2" s="1"/>
  <c r="H83" i="2"/>
  <c r="D86" i="2"/>
  <c r="H86" i="2" s="1"/>
  <c r="F86" i="2"/>
  <c r="E86" i="2"/>
  <c r="G87" i="2"/>
  <c r="J87" i="2" s="1"/>
  <c r="F87" i="2"/>
  <c r="K88" i="2"/>
  <c r="G90" i="2"/>
  <c r="M90" i="2" s="1"/>
  <c r="F90" i="2"/>
  <c r="D90" i="2"/>
  <c r="H90" i="2" s="1"/>
  <c r="F92" i="2"/>
  <c r="E92" i="2"/>
  <c r="H92" i="2"/>
  <c r="G92" i="2"/>
  <c r="L93" i="2"/>
  <c r="M94" i="2"/>
  <c r="I108" i="2"/>
  <c r="G119" i="2"/>
  <c r="F119" i="2"/>
  <c r="E119" i="2"/>
  <c r="D119" i="2"/>
  <c r="H119" i="2" s="1"/>
  <c r="I119" i="2"/>
  <c r="E15" i="2"/>
  <c r="I15" i="2" s="1"/>
  <c r="E39" i="2"/>
  <c r="I39" i="2" s="1"/>
  <c r="J64" i="2"/>
  <c r="K80" i="2"/>
  <c r="M109" i="2"/>
  <c r="J109" i="2"/>
  <c r="F7" i="2"/>
  <c r="D9" i="2"/>
  <c r="H9" i="2" s="1"/>
  <c r="E12" i="2"/>
  <c r="I12" i="2" s="1"/>
  <c r="F58" i="2"/>
  <c r="L59" i="2"/>
  <c r="H60" i="2"/>
  <c r="E61" i="2"/>
  <c r="J62" i="2"/>
  <c r="I63" i="2"/>
  <c r="D65" i="2"/>
  <c r="H65" i="2" s="1"/>
  <c r="K65" i="2"/>
  <c r="I66" i="2"/>
  <c r="E67" i="2"/>
  <c r="F70" i="2"/>
  <c r="G74" i="2"/>
  <c r="J74" i="2" s="1"/>
  <c r="F74" i="2"/>
  <c r="K77" i="2"/>
  <c r="H78" i="2"/>
  <c r="I79" i="2"/>
  <c r="I83" i="2"/>
  <c r="M88" i="2"/>
  <c r="K96" i="2"/>
  <c r="G103" i="2"/>
  <c r="F103" i="2"/>
  <c r="E103" i="2"/>
  <c r="I103" i="2"/>
  <c r="L109" i="2"/>
  <c r="E105" i="2"/>
  <c r="D105" i="2"/>
  <c r="H105" i="2" s="1"/>
  <c r="K107" i="2"/>
  <c r="J107" i="2"/>
  <c r="D114" i="2"/>
  <c r="I115" i="2"/>
  <c r="E121" i="2"/>
  <c r="J122" i="2"/>
  <c r="G135" i="2"/>
  <c r="F135" i="2"/>
  <c r="H154" i="2"/>
  <c r="G154" i="2"/>
  <c r="D154" i="2"/>
  <c r="M162" i="2"/>
  <c r="L164" i="2"/>
  <c r="G167" i="2"/>
  <c r="F167" i="2"/>
  <c r="E167" i="2"/>
  <c r="D173" i="2"/>
  <c r="H173" i="2" s="1"/>
  <c r="I173" i="2"/>
  <c r="G173" i="2"/>
  <c r="E173" i="2"/>
  <c r="G241" i="2"/>
  <c r="F241" i="2"/>
  <c r="E241" i="2"/>
  <c r="D241" i="2"/>
  <c r="H241" i="2" s="1"/>
  <c r="I241" i="2"/>
  <c r="D277" i="2"/>
  <c r="H277" i="2" s="1"/>
  <c r="F277" i="2"/>
  <c r="I277" i="2"/>
  <c r="E277" i="2"/>
  <c r="G277" i="2"/>
  <c r="G106" i="2"/>
  <c r="J106" i="2" s="1"/>
  <c r="K112" i="2"/>
  <c r="E114" i="2"/>
  <c r="J120" i="2"/>
  <c r="G122" i="2"/>
  <c r="M122" i="2" s="1"/>
  <c r="F129" i="2"/>
  <c r="E129" i="2"/>
  <c r="E136" i="2"/>
  <c r="I137" i="2"/>
  <c r="G137" i="2"/>
  <c r="D137" i="2"/>
  <c r="H137" i="2" s="1"/>
  <c r="D138" i="2"/>
  <c r="H138" i="2" s="1"/>
  <c r="F139" i="2"/>
  <c r="I139" i="2"/>
  <c r="D139" i="2"/>
  <c r="H139" i="2" s="1"/>
  <c r="K147" i="2"/>
  <c r="D153" i="2"/>
  <c r="H153" i="2" s="1"/>
  <c r="I153" i="2"/>
  <c r="J153" i="2" s="1"/>
  <c r="G153" i="2"/>
  <c r="F171" i="2"/>
  <c r="I171" i="2"/>
  <c r="G171" i="2"/>
  <c r="D171" i="2"/>
  <c r="H171" i="2" s="1"/>
  <c r="G213" i="2"/>
  <c r="I213" i="2"/>
  <c r="F213" i="2"/>
  <c r="D213" i="2"/>
  <c r="H213" i="2" s="1"/>
  <c r="E213" i="2"/>
  <c r="F84" i="2"/>
  <c r="E84" i="2"/>
  <c r="H91" i="2"/>
  <c r="I94" i="2"/>
  <c r="K94" i="2" s="1"/>
  <c r="H95" i="2"/>
  <c r="F100" i="2"/>
  <c r="E100" i="2"/>
  <c r="E102" i="2"/>
  <c r="F105" i="2"/>
  <c r="H107" i="2"/>
  <c r="I110" i="2"/>
  <c r="L110" i="2" s="1"/>
  <c r="D115" i="2"/>
  <c r="H115" i="2" s="1"/>
  <c r="F116" i="2"/>
  <c r="E116" i="2"/>
  <c r="E118" i="2"/>
  <c r="F121" i="2"/>
  <c r="F123" i="2"/>
  <c r="D123" i="2"/>
  <c r="J124" i="2"/>
  <c r="E134" i="2"/>
  <c r="D135" i="2"/>
  <c r="H135" i="2" s="1"/>
  <c r="D141" i="2"/>
  <c r="H141" i="2" s="1"/>
  <c r="I141" i="2"/>
  <c r="E141" i="2"/>
  <c r="E154" i="2"/>
  <c r="D167" i="2"/>
  <c r="D170" i="2"/>
  <c r="H170" i="2" s="1"/>
  <c r="G170" i="2"/>
  <c r="M172" i="2"/>
  <c r="L172" i="2"/>
  <c r="K172" i="2"/>
  <c r="F173" i="2"/>
  <c r="M196" i="2"/>
  <c r="G198" i="2"/>
  <c r="F198" i="2"/>
  <c r="E198" i="2"/>
  <c r="I198" i="2"/>
  <c r="D198" i="2"/>
  <c r="H198" i="2" s="1"/>
  <c r="E97" i="2"/>
  <c r="D97" i="2"/>
  <c r="H97" i="2" s="1"/>
  <c r="F102" i="2"/>
  <c r="G105" i="2"/>
  <c r="D106" i="2"/>
  <c r="H106" i="2" s="1"/>
  <c r="E113" i="2"/>
  <c r="D113" i="2"/>
  <c r="H113" i="2" s="1"/>
  <c r="E115" i="2"/>
  <c r="F118" i="2"/>
  <c r="D122" i="2"/>
  <c r="K122" i="2" s="1"/>
  <c r="D129" i="2"/>
  <c r="H129" i="2" s="1"/>
  <c r="F131" i="2"/>
  <c r="G131" i="2"/>
  <c r="E131" i="2"/>
  <c r="F134" i="2"/>
  <c r="E135" i="2"/>
  <c r="D136" i="2"/>
  <c r="H136" i="2" s="1"/>
  <c r="E137" i="2"/>
  <c r="E138" i="2"/>
  <c r="E139" i="2"/>
  <c r="L149" i="2"/>
  <c r="K149" i="2"/>
  <c r="J149" i="2"/>
  <c r="F154" i="2"/>
  <c r="H167" i="2"/>
  <c r="E171" i="2"/>
  <c r="H177" i="2"/>
  <c r="F177" i="2"/>
  <c r="D177" i="2"/>
  <c r="I177" i="2"/>
  <c r="M177" i="2" s="1"/>
  <c r="H185" i="2"/>
  <c r="F185" i="2"/>
  <c r="I185" i="2"/>
  <c r="G185" i="2"/>
  <c r="E185" i="2"/>
  <c r="M285" i="2"/>
  <c r="D288" i="2"/>
  <c r="H288" i="2" s="1"/>
  <c r="I288" i="2"/>
  <c r="E288" i="2"/>
  <c r="F288" i="2"/>
  <c r="G288" i="2"/>
  <c r="J112" i="2"/>
  <c r="H114" i="2"/>
  <c r="G114" i="2"/>
  <c r="M140" i="2"/>
  <c r="L140" i="2"/>
  <c r="L147" i="2"/>
  <c r="F153" i="2"/>
  <c r="I154" i="2"/>
  <c r="K164" i="2"/>
  <c r="L166" i="2"/>
  <c r="K166" i="2"/>
  <c r="J166" i="2"/>
  <c r="I167" i="2"/>
  <c r="H169" i="2"/>
  <c r="I169" i="2"/>
  <c r="G169" i="2"/>
  <c r="F169" i="2"/>
  <c r="D169" i="2"/>
  <c r="M180" i="2"/>
  <c r="L180" i="2"/>
  <c r="K180" i="2"/>
  <c r="G193" i="2"/>
  <c r="L193" i="2" s="1"/>
  <c r="F193" i="2"/>
  <c r="D193" i="2"/>
  <c r="H193" i="2" s="1"/>
  <c r="I193" i="2"/>
  <c r="K202" i="2"/>
  <c r="J202" i="2"/>
  <c r="M202" i="2"/>
  <c r="L202" i="2"/>
  <c r="G95" i="2"/>
  <c r="J95" i="2" s="1"/>
  <c r="F95" i="2"/>
  <c r="H102" i="2"/>
  <c r="I105" i="2"/>
  <c r="F106" i="2"/>
  <c r="M107" i="2"/>
  <c r="G111" i="2"/>
  <c r="K111" i="2" s="1"/>
  <c r="F111" i="2"/>
  <c r="H118" i="2"/>
  <c r="L120" i="2"/>
  <c r="I121" i="2"/>
  <c r="F122" i="2"/>
  <c r="M123" i="2"/>
  <c r="L123" i="2"/>
  <c r="D125" i="2"/>
  <c r="H125" i="2" s="1"/>
  <c r="E125" i="2"/>
  <c r="I125" i="2"/>
  <c r="I129" i="2"/>
  <c r="K130" i="2"/>
  <c r="J130" i="2"/>
  <c r="M132" i="2"/>
  <c r="I135" i="2"/>
  <c r="G136" i="2"/>
  <c r="G138" i="2"/>
  <c r="D183" i="2"/>
  <c r="H183" i="2" s="1"/>
  <c r="I183" i="2"/>
  <c r="G183" i="2"/>
  <c r="K186" i="2"/>
  <c r="M186" i="2"/>
  <c r="L186" i="2"/>
  <c r="D261" i="2"/>
  <c r="H261" i="2" s="1"/>
  <c r="I261" i="2"/>
  <c r="G261" i="2"/>
  <c r="E261" i="2"/>
  <c r="F261" i="2"/>
  <c r="D133" i="2"/>
  <c r="H133" i="2" s="1"/>
  <c r="G133" i="2"/>
  <c r="F133" i="2"/>
  <c r="G134" i="2"/>
  <c r="H134" i="2"/>
  <c r="K145" i="2"/>
  <c r="F155" i="2"/>
  <c r="D155" i="2"/>
  <c r="H155" i="2" s="1"/>
  <c r="I155" i="2"/>
  <c r="M155" i="2" s="1"/>
  <c r="D157" i="2"/>
  <c r="E157" i="2"/>
  <c r="I157" i="2"/>
  <c r="H157" i="2"/>
  <c r="L196" i="2"/>
  <c r="J196" i="2"/>
  <c r="D197" i="2"/>
  <c r="H197" i="2"/>
  <c r="G197" i="2"/>
  <c r="I197" i="2"/>
  <c r="J197" i="2" s="1"/>
  <c r="F197" i="2"/>
  <c r="I146" i="2"/>
  <c r="J148" i="2"/>
  <c r="H161" i="2"/>
  <c r="K162" i="2"/>
  <c r="F166" i="2"/>
  <c r="G168" i="2"/>
  <c r="J168" i="2" s="1"/>
  <c r="F179" i="2"/>
  <c r="D179" i="2"/>
  <c r="H179" i="2" s="1"/>
  <c r="G182" i="2"/>
  <c r="E182" i="2"/>
  <c r="L187" i="2"/>
  <c r="J187" i="2"/>
  <c r="D189" i="2"/>
  <c r="H189" i="2" s="1"/>
  <c r="G190" i="2"/>
  <c r="F190" i="2"/>
  <c r="E190" i="2"/>
  <c r="G229" i="2"/>
  <c r="M229" i="2" s="1"/>
  <c r="I229" i="2"/>
  <c r="F229" i="2"/>
  <c r="D229" i="2"/>
  <c r="H229" i="2" s="1"/>
  <c r="G237" i="2"/>
  <c r="D237" i="2"/>
  <c r="H237" i="2" s="1"/>
  <c r="I237" i="2"/>
  <c r="L237" i="2" s="1"/>
  <c r="F237" i="2"/>
  <c r="I127" i="2"/>
  <c r="L127" i="2" s="1"/>
  <c r="M144" i="2"/>
  <c r="J144" i="2"/>
  <c r="I159" i="2"/>
  <c r="H166" i="2"/>
  <c r="H168" i="2"/>
  <c r="K178" i="2"/>
  <c r="J199" i="2"/>
  <c r="K207" i="2"/>
  <c r="G209" i="2"/>
  <c r="F209" i="2"/>
  <c r="D209" i="2"/>
  <c r="H209" i="2" s="1"/>
  <c r="D280" i="2"/>
  <c r="E280" i="2"/>
  <c r="I280" i="2"/>
  <c r="G280" i="2"/>
  <c r="F280" i="2"/>
  <c r="M212" i="2"/>
  <c r="L212" i="2"/>
  <c r="K212" i="2"/>
  <c r="J212" i="2"/>
  <c r="G226" i="2"/>
  <c r="F226" i="2"/>
  <c r="I226" i="2"/>
  <c r="E226" i="2"/>
  <c r="D233" i="2"/>
  <c r="H233" i="2" s="1"/>
  <c r="I233" i="2"/>
  <c r="G233" i="2"/>
  <c r="F233" i="2"/>
  <c r="D240" i="2"/>
  <c r="H240" i="2" s="1"/>
  <c r="I240" i="2"/>
  <c r="E240" i="2"/>
  <c r="G240" i="2"/>
  <c r="E243" i="2"/>
  <c r="D243" i="2"/>
  <c r="H243" i="2" s="1"/>
  <c r="I243" i="2"/>
  <c r="F243" i="2"/>
  <c r="G257" i="2"/>
  <c r="F257" i="2"/>
  <c r="E257" i="2"/>
  <c r="I257" i="2"/>
  <c r="E283" i="2"/>
  <c r="D283" i="2"/>
  <c r="H283" i="2" s="1"/>
  <c r="F283" i="2"/>
  <c r="G283" i="2"/>
  <c r="L165" i="2"/>
  <c r="M168" i="2"/>
  <c r="K204" i="2"/>
  <c r="G206" i="2"/>
  <c r="F206" i="2"/>
  <c r="E206" i="2"/>
  <c r="J219" i="2"/>
  <c r="M219" i="2"/>
  <c r="J229" i="2"/>
  <c r="H236" i="2"/>
  <c r="G236" i="2"/>
  <c r="I236" i="2"/>
  <c r="F236" i="2"/>
  <c r="E236" i="2"/>
  <c r="D248" i="2"/>
  <c r="H248" i="2" s="1"/>
  <c r="E248" i="2"/>
  <c r="I248" i="2"/>
  <c r="G248" i="2"/>
  <c r="L250" i="2"/>
  <c r="G260" i="2"/>
  <c r="I260" i="2"/>
  <c r="L260" i="2" s="1"/>
  <c r="F260" i="2"/>
  <c r="D260" i="2"/>
  <c r="H260" i="2" s="1"/>
  <c r="H77" i="2"/>
  <c r="H85" i="2"/>
  <c r="H93" i="2"/>
  <c r="H101" i="2"/>
  <c r="H117" i="2"/>
  <c r="J117" i="2" s="1"/>
  <c r="I126" i="2"/>
  <c r="J126" i="2" s="1"/>
  <c r="D127" i="2"/>
  <c r="H127" i="2" s="1"/>
  <c r="I128" i="2"/>
  <c r="D142" i="2"/>
  <c r="H142" i="2" s="1"/>
  <c r="H143" i="2"/>
  <c r="D144" i="2"/>
  <c r="H144" i="2" s="1"/>
  <c r="H145" i="2"/>
  <c r="J145" i="2"/>
  <c r="E146" i="2"/>
  <c r="J147" i="2"/>
  <c r="I158" i="2"/>
  <c r="D159" i="2"/>
  <c r="H159" i="2" s="1"/>
  <c r="I160" i="2"/>
  <c r="E161" i="2"/>
  <c r="E163" i="2"/>
  <c r="J164" i="2"/>
  <c r="F165" i="2"/>
  <c r="K168" i="2"/>
  <c r="D174" i="2"/>
  <c r="H174" i="2" s="1"/>
  <c r="F176" i="2"/>
  <c r="G179" i="2"/>
  <c r="J179" i="2" s="1"/>
  <c r="F182" i="2"/>
  <c r="I184" i="2"/>
  <c r="L184" i="2" s="1"/>
  <c r="K187" i="2"/>
  <c r="F189" i="2"/>
  <c r="H190" i="2"/>
  <c r="J191" i="2"/>
  <c r="M191" i="2"/>
  <c r="K199" i="2"/>
  <c r="H201" i="2"/>
  <c r="G201" i="2"/>
  <c r="F201" i="2"/>
  <c r="D201" i="2"/>
  <c r="D205" i="2"/>
  <c r="H205" i="2" s="1"/>
  <c r="G205" i="2"/>
  <c r="J205" i="2" s="1"/>
  <c r="E209" i="2"/>
  <c r="J227" i="2"/>
  <c r="M227" i="2"/>
  <c r="L227" i="2"/>
  <c r="H280" i="2"/>
  <c r="E142" i="2"/>
  <c r="F144" i="2"/>
  <c r="F161" i="2"/>
  <c r="J162" i="2"/>
  <c r="G163" i="2"/>
  <c r="G165" i="2"/>
  <c r="K165" i="2" s="1"/>
  <c r="L168" i="2"/>
  <c r="E174" i="2"/>
  <c r="H175" i="2"/>
  <c r="G176" i="2"/>
  <c r="J176" i="2" s="1"/>
  <c r="J178" i="2"/>
  <c r="H182" i="2"/>
  <c r="K184" i="2"/>
  <c r="J184" i="2"/>
  <c r="F187" i="2"/>
  <c r="D187" i="2"/>
  <c r="H187" i="2" s="1"/>
  <c r="M187" i="2"/>
  <c r="G189" i="2"/>
  <c r="M189" i="2" s="1"/>
  <c r="I190" i="2"/>
  <c r="J216" i="2"/>
  <c r="M216" i="2"/>
  <c r="G221" i="2"/>
  <c r="D221" i="2"/>
  <c r="H221" i="2" s="1"/>
  <c r="I221" i="2"/>
  <c r="M224" i="2"/>
  <c r="L224" i="2"/>
  <c r="J224" i="2"/>
  <c r="D226" i="2"/>
  <c r="H226" i="2" s="1"/>
  <c r="L229" i="2"/>
  <c r="E233" i="2"/>
  <c r="F240" i="2"/>
  <c r="G243" i="2"/>
  <c r="D257" i="2"/>
  <c r="H257" i="2" s="1"/>
  <c r="I283" i="2"/>
  <c r="I195" i="2"/>
  <c r="M199" i="2"/>
  <c r="I203" i="2"/>
  <c r="M207" i="2"/>
  <c r="H218" i="2"/>
  <c r="F223" i="2"/>
  <c r="E223" i="2"/>
  <c r="L225" i="2"/>
  <c r="K225" i="2"/>
  <c r="I234" i="2"/>
  <c r="G234" i="2"/>
  <c r="F234" i="2"/>
  <c r="E235" i="2"/>
  <c r="D235" i="2"/>
  <c r="F235" i="2"/>
  <c r="M245" i="2"/>
  <c r="G252" i="2"/>
  <c r="I252" i="2"/>
  <c r="H253" i="2"/>
  <c r="G253" i="2"/>
  <c r="D253" i="2"/>
  <c r="D256" i="2"/>
  <c r="I256" i="2"/>
  <c r="H256" i="2"/>
  <c r="E256" i="2"/>
  <c r="E259" i="2"/>
  <c r="D259" i="2"/>
  <c r="H259" i="2" s="1"/>
  <c r="I259" i="2"/>
  <c r="F259" i="2"/>
  <c r="D264" i="2"/>
  <c r="E264" i="2"/>
  <c r="I264" i="2"/>
  <c r="K266" i="2"/>
  <c r="G273" i="2"/>
  <c r="F273" i="2"/>
  <c r="E273" i="2"/>
  <c r="G289" i="2"/>
  <c r="F289" i="2"/>
  <c r="E289" i="2"/>
  <c r="E291" i="2"/>
  <c r="D291" i="2"/>
  <c r="H291" i="2" s="1"/>
  <c r="I291" i="2"/>
  <c r="F291" i="2"/>
  <c r="K293" i="2"/>
  <c r="J293" i="2"/>
  <c r="M293" i="2"/>
  <c r="I192" i="2"/>
  <c r="J192" i="2" s="1"/>
  <c r="I200" i="2"/>
  <c r="M200" i="2" s="1"/>
  <c r="I208" i="2"/>
  <c r="J208" i="2" s="1"/>
  <c r="G210" i="2"/>
  <c r="L210" i="2" s="1"/>
  <c r="I214" i="2"/>
  <c r="L214" i="2" s="1"/>
  <c r="E220" i="2"/>
  <c r="D220" i="2"/>
  <c r="H220" i="2" s="1"/>
  <c r="K222" i="2"/>
  <c r="J222" i="2"/>
  <c r="I230" i="2"/>
  <c r="K230" i="2" s="1"/>
  <c r="M232" i="2"/>
  <c r="E251" i="2"/>
  <c r="D251" i="2"/>
  <c r="F251" i="2"/>
  <c r="G268" i="2"/>
  <c r="I268" i="2"/>
  <c r="H269" i="2"/>
  <c r="G269" i="2"/>
  <c r="D269" i="2"/>
  <c r="D272" i="2"/>
  <c r="H272" i="2" s="1"/>
  <c r="I272" i="2"/>
  <c r="E272" i="2"/>
  <c r="E275" i="2"/>
  <c r="D275" i="2"/>
  <c r="I275" i="2"/>
  <c r="F275" i="2"/>
  <c r="M279" i="2"/>
  <c r="K279" i="2"/>
  <c r="J282" i="2"/>
  <c r="M282" i="2"/>
  <c r="K282" i="2"/>
  <c r="D195" i="2"/>
  <c r="H195" i="2" s="1"/>
  <c r="D203" i="2"/>
  <c r="H203" i="2" s="1"/>
  <c r="D211" i="2"/>
  <c r="H211" i="2" s="1"/>
  <c r="G218" i="2"/>
  <c r="F218" i="2"/>
  <c r="D223" i="2"/>
  <c r="H223" i="2" s="1"/>
  <c r="J250" i="2"/>
  <c r="M250" i="2"/>
  <c r="D252" i="2"/>
  <c r="H252" i="2" s="1"/>
  <c r="E253" i="2"/>
  <c r="M255" i="2"/>
  <c r="L255" i="2"/>
  <c r="F256" i="2"/>
  <c r="J258" i="2"/>
  <c r="M258" i="2"/>
  <c r="L258" i="2"/>
  <c r="G259" i="2"/>
  <c r="F264" i="2"/>
  <c r="D273" i="2"/>
  <c r="H273" i="2" s="1"/>
  <c r="M276" i="2"/>
  <c r="K276" i="2"/>
  <c r="G285" i="2"/>
  <c r="K285" i="2" s="1"/>
  <c r="D285" i="2"/>
  <c r="H285" i="2" s="1"/>
  <c r="D289" i="2"/>
  <c r="H289" i="2" s="1"/>
  <c r="G291" i="2"/>
  <c r="L293" i="2"/>
  <c r="D192" i="2"/>
  <c r="H192" i="2" s="1"/>
  <c r="E195" i="2"/>
  <c r="D200" i="2"/>
  <c r="H200" i="2" s="1"/>
  <c r="E203" i="2"/>
  <c r="D208" i="2"/>
  <c r="H208" i="2" s="1"/>
  <c r="E211" i="2"/>
  <c r="D214" i="2"/>
  <c r="H214" i="2" s="1"/>
  <c r="F215" i="2"/>
  <c r="E215" i="2"/>
  <c r="E217" i="2"/>
  <c r="F220" i="2"/>
  <c r="G223" i="2"/>
  <c r="D230" i="2"/>
  <c r="H230" i="2" s="1"/>
  <c r="F231" i="2"/>
  <c r="E231" i="2"/>
  <c r="E234" i="2"/>
  <c r="H235" i="2"/>
  <c r="E252" i="2"/>
  <c r="F253" i="2"/>
  <c r="G256" i="2"/>
  <c r="G264" i="2"/>
  <c r="J266" i="2"/>
  <c r="M266" i="2"/>
  <c r="D268" i="2"/>
  <c r="H268" i="2" s="1"/>
  <c r="E269" i="2"/>
  <c r="M271" i="2"/>
  <c r="L271" i="2"/>
  <c r="F272" i="2"/>
  <c r="I273" i="2"/>
  <c r="J274" i="2"/>
  <c r="M274" i="2"/>
  <c r="L274" i="2"/>
  <c r="G275" i="2"/>
  <c r="J279" i="2"/>
  <c r="M281" i="2"/>
  <c r="H284" i="2"/>
  <c r="G284" i="2"/>
  <c r="I284" i="2"/>
  <c r="E284" i="2"/>
  <c r="I289" i="2"/>
  <c r="F211" i="2"/>
  <c r="F217" i="2"/>
  <c r="G220" i="2"/>
  <c r="J225" i="2"/>
  <c r="E228" i="2"/>
  <c r="D228" i="2"/>
  <c r="H228" i="2" s="1"/>
  <c r="H234" i="2"/>
  <c r="I235" i="2"/>
  <c r="H244" i="2"/>
  <c r="G244" i="2"/>
  <c r="I244" i="2"/>
  <c r="F244" i="2"/>
  <c r="D245" i="2"/>
  <c r="H245" i="2" s="1"/>
  <c r="K247" i="2"/>
  <c r="J249" i="2"/>
  <c r="H251" i="2"/>
  <c r="F252" i="2"/>
  <c r="I253" i="2"/>
  <c r="H264" i="2"/>
  <c r="E268" i="2"/>
  <c r="F269" i="2"/>
  <c r="G272" i="2"/>
  <c r="H275" i="2"/>
  <c r="L276" i="2"/>
  <c r="L279" i="2"/>
  <c r="L282" i="2"/>
  <c r="M287" i="2"/>
  <c r="D293" i="2"/>
  <c r="H293" i="2" s="1"/>
  <c r="F293" i="2"/>
  <c r="D296" i="2"/>
  <c r="H296" i="2" s="1"/>
  <c r="E296" i="2"/>
  <c r="I296" i="2"/>
  <c r="G296" i="2"/>
  <c r="H276" i="2"/>
  <c r="G276" i="2"/>
  <c r="J276" i="2" s="1"/>
  <c r="J290" i="2"/>
  <c r="H292" i="2"/>
  <c r="G292" i="2"/>
  <c r="K295" i="2"/>
  <c r="F238" i="2"/>
  <c r="E238" i="2"/>
  <c r="F254" i="2"/>
  <c r="E254" i="2"/>
  <c r="F270" i="2"/>
  <c r="E270" i="2"/>
  <c r="F286" i="2"/>
  <c r="E286" i="2"/>
  <c r="J297" i="2"/>
  <c r="J298" i="2"/>
  <c r="H224" i="2"/>
  <c r="H232" i="2"/>
  <c r="D238" i="2"/>
  <c r="H238" i="2" s="1"/>
  <c r="G249" i="2"/>
  <c r="M249" i="2" s="1"/>
  <c r="F249" i="2"/>
  <c r="D254" i="2"/>
  <c r="H254" i="2" s="1"/>
  <c r="G265" i="2"/>
  <c r="F265" i="2"/>
  <c r="D270" i="2"/>
  <c r="H270" i="2" s="1"/>
  <c r="F276" i="2"/>
  <c r="G281" i="2"/>
  <c r="J281" i="2" s="1"/>
  <c r="F281" i="2"/>
  <c r="D286" i="2"/>
  <c r="H286" i="2" s="1"/>
  <c r="L287" i="2"/>
  <c r="L290" i="2"/>
  <c r="F292" i="2"/>
  <c r="G297" i="2"/>
  <c r="M297" i="2" s="1"/>
  <c r="F297" i="2"/>
  <c r="G238" i="2"/>
  <c r="F246" i="2"/>
  <c r="E246" i="2"/>
  <c r="G254" i="2"/>
  <c r="F262" i="2"/>
  <c r="E262" i="2"/>
  <c r="G270" i="2"/>
  <c r="I276" i="2"/>
  <c r="F278" i="2"/>
  <c r="E278" i="2"/>
  <c r="G286" i="2"/>
  <c r="M290" i="2"/>
  <c r="I292" i="2"/>
  <c r="M292" i="2" s="1"/>
  <c r="F294" i="2"/>
  <c r="E294" i="2"/>
  <c r="L298" i="2"/>
  <c r="G299" i="2"/>
  <c r="M298" i="2"/>
  <c r="I299" i="2"/>
  <c r="M299" i="2" s="1"/>
  <c r="H239" i="2"/>
  <c r="H247" i="2"/>
  <c r="H255" i="2"/>
  <c r="H263" i="2"/>
  <c r="H271" i="2"/>
  <c r="H279" i="2"/>
  <c r="H287" i="2"/>
  <c r="H295" i="2"/>
  <c r="D299" i="2"/>
  <c r="H299" i="2" s="1"/>
  <c r="K2" i="2" l="1"/>
  <c r="M2" i="2"/>
  <c r="J2" i="2"/>
  <c r="J218" i="2"/>
  <c r="K221" i="2"/>
  <c r="J237" i="2"/>
  <c r="M260" i="2"/>
  <c r="L175" i="2"/>
  <c r="L170" i="2"/>
  <c r="J132" i="2"/>
  <c r="M143" i="2"/>
  <c r="L46" i="2"/>
  <c r="K56" i="2"/>
  <c r="L245" i="2"/>
  <c r="M201" i="2"/>
  <c r="H109" i="2"/>
  <c r="K237" i="2"/>
  <c r="J175" i="2"/>
  <c r="J221" i="2"/>
  <c r="K183" i="2"/>
  <c r="J94" i="2"/>
  <c r="M153" i="2"/>
  <c r="J57" i="2"/>
  <c r="M87" i="2"/>
  <c r="K197" i="2"/>
  <c r="M46" i="2"/>
  <c r="M148" i="2"/>
  <c r="L148" i="2"/>
  <c r="K45" i="2"/>
  <c r="L207" i="2"/>
  <c r="M175" i="2"/>
  <c r="J104" i="2"/>
  <c r="K104" i="2"/>
  <c r="J85" i="2"/>
  <c r="L85" i="2"/>
  <c r="J71" i="2"/>
  <c r="M71" i="2"/>
  <c r="J245" i="2"/>
  <c r="L218" i="2"/>
  <c r="K210" i="2"/>
  <c r="K242" i="2"/>
  <c r="L133" i="2"/>
  <c r="K205" i="2"/>
  <c r="K101" i="2"/>
  <c r="M14" i="2"/>
  <c r="J188" i="2"/>
  <c r="M101" i="2"/>
  <c r="M72" i="2"/>
  <c r="K72" i="2"/>
  <c r="L65" i="2"/>
  <c r="M65" i="2"/>
  <c r="J45" i="2"/>
  <c r="M204" i="2"/>
  <c r="J204" i="2"/>
  <c r="L188" i="2"/>
  <c r="K191" i="2"/>
  <c r="M124" i="2"/>
  <c r="L124" i="2"/>
  <c r="L159" i="2"/>
  <c r="K176" i="2"/>
  <c r="L242" i="2"/>
  <c r="M170" i="2"/>
  <c r="L71" i="2"/>
  <c r="J101" i="2"/>
  <c r="M45" i="2"/>
  <c r="J54" i="2"/>
  <c r="J69" i="2"/>
  <c r="M69" i="2"/>
  <c r="K69" i="2"/>
  <c r="K123" i="2"/>
  <c r="L222" i="2"/>
  <c r="L132" i="2"/>
  <c r="M93" i="2"/>
  <c r="J93" i="2"/>
  <c r="L72" i="2"/>
  <c r="M85" i="2"/>
  <c r="M59" i="2"/>
  <c r="M112" i="2"/>
  <c r="J21" i="2"/>
  <c r="L191" i="2"/>
  <c r="J263" i="2"/>
  <c r="M242" i="2"/>
  <c r="J194" i="2"/>
  <c r="K106" i="2"/>
  <c r="K87" i="2"/>
  <c r="L82" i="2"/>
  <c r="I30" i="2"/>
  <c r="M30" i="2" s="1"/>
  <c r="L43" i="2"/>
  <c r="K22" i="2"/>
  <c r="L27" i="2"/>
  <c r="L130" i="2"/>
  <c r="M166" i="2"/>
  <c r="J55" i="2"/>
  <c r="K24" i="2"/>
  <c r="J247" i="2"/>
  <c r="M263" i="2"/>
  <c r="M159" i="2"/>
  <c r="K194" i="2"/>
  <c r="M106" i="2"/>
  <c r="J35" i="2"/>
  <c r="L78" i="2"/>
  <c r="M38" i="2"/>
  <c r="L263" i="2"/>
  <c r="L204" i="2"/>
  <c r="L232" i="2"/>
  <c r="M194" i="2"/>
  <c r="L57" i="2"/>
  <c r="K57" i="2"/>
  <c r="M214" i="2"/>
  <c r="K229" i="2"/>
  <c r="J143" i="2"/>
  <c r="K193" i="2"/>
  <c r="K71" i="2"/>
  <c r="K143" i="2"/>
  <c r="K82" i="2"/>
  <c r="L117" i="2"/>
  <c r="M117" i="2"/>
  <c r="L144" i="2"/>
  <c r="J213" i="2"/>
  <c r="M213" i="2"/>
  <c r="L213" i="2"/>
  <c r="K213" i="2"/>
  <c r="J67" i="2"/>
  <c r="M67" i="2"/>
  <c r="L67" i="2"/>
  <c r="K67" i="2"/>
  <c r="M68" i="2"/>
  <c r="L68" i="2"/>
  <c r="K68" i="2"/>
  <c r="J68" i="2"/>
  <c r="M231" i="2"/>
  <c r="J231" i="2"/>
  <c r="L231" i="2"/>
  <c r="K231" i="2"/>
  <c r="K281" i="2"/>
  <c r="L272" i="2"/>
  <c r="K272" i="2"/>
  <c r="M272" i="2"/>
  <c r="J272" i="2"/>
  <c r="L289" i="2"/>
  <c r="J289" i="2"/>
  <c r="K289" i="2"/>
  <c r="M289" i="2"/>
  <c r="L256" i="2"/>
  <c r="K256" i="2"/>
  <c r="J256" i="2"/>
  <c r="M256" i="2"/>
  <c r="M237" i="2"/>
  <c r="M236" i="2"/>
  <c r="L236" i="2"/>
  <c r="J236" i="2"/>
  <c r="K236" i="2"/>
  <c r="J189" i="2"/>
  <c r="M226" i="2"/>
  <c r="L226" i="2"/>
  <c r="K226" i="2"/>
  <c r="J226" i="2"/>
  <c r="L176" i="2"/>
  <c r="L221" i="2"/>
  <c r="M176" i="2"/>
  <c r="K200" i="2"/>
  <c r="K127" i="2"/>
  <c r="K169" i="2"/>
  <c r="L285" i="2"/>
  <c r="M139" i="2"/>
  <c r="K139" i="2"/>
  <c r="J139" i="2"/>
  <c r="L139" i="2"/>
  <c r="L205" i="2"/>
  <c r="K277" i="2"/>
  <c r="J277" i="2"/>
  <c r="M277" i="2"/>
  <c r="L277" i="2"/>
  <c r="M127" i="2"/>
  <c r="L66" i="2"/>
  <c r="J66" i="2"/>
  <c r="M119" i="2"/>
  <c r="L119" i="2"/>
  <c r="J119" i="2"/>
  <c r="K119" i="2"/>
  <c r="M58" i="2"/>
  <c r="L58" i="2"/>
  <c r="K58" i="2"/>
  <c r="J58" i="2"/>
  <c r="K33" i="2"/>
  <c r="M33" i="2"/>
  <c r="L33" i="2"/>
  <c r="J33" i="2"/>
  <c r="L94" i="2"/>
  <c r="M23" i="2"/>
  <c r="L23" i="2"/>
  <c r="K23" i="2"/>
  <c r="J23" i="2"/>
  <c r="K177" i="2"/>
  <c r="L197" i="2"/>
  <c r="J60" i="2"/>
  <c r="L3" i="2"/>
  <c r="M291" i="2"/>
  <c r="L291" i="2"/>
  <c r="J291" i="2"/>
  <c r="K291" i="2"/>
  <c r="L160" i="2"/>
  <c r="K160" i="2"/>
  <c r="J200" i="2"/>
  <c r="K115" i="2"/>
  <c r="J115" i="2"/>
  <c r="L115" i="2"/>
  <c r="M115" i="2"/>
  <c r="L241" i="2"/>
  <c r="M241" i="2"/>
  <c r="K241" i="2"/>
  <c r="J241" i="2"/>
  <c r="M278" i="2"/>
  <c r="K278" i="2"/>
  <c r="J278" i="2"/>
  <c r="L278" i="2"/>
  <c r="M286" i="2"/>
  <c r="K286" i="2"/>
  <c r="L286" i="2"/>
  <c r="J286" i="2"/>
  <c r="J299" i="2"/>
  <c r="K269" i="2"/>
  <c r="J269" i="2"/>
  <c r="M269" i="2"/>
  <c r="L269" i="2"/>
  <c r="M211" i="2"/>
  <c r="K211" i="2"/>
  <c r="J211" i="2"/>
  <c r="L211" i="2"/>
  <c r="K253" i="2"/>
  <c r="J253" i="2"/>
  <c r="L253" i="2"/>
  <c r="M253" i="2"/>
  <c r="L281" i="2"/>
  <c r="J160" i="2"/>
  <c r="M158" i="2"/>
  <c r="L158" i="2"/>
  <c r="K158" i="2"/>
  <c r="K128" i="2"/>
  <c r="L128" i="2"/>
  <c r="K208" i="2"/>
  <c r="K189" i="2"/>
  <c r="J292" i="2"/>
  <c r="M221" i="2"/>
  <c r="M182" i="2"/>
  <c r="L182" i="2"/>
  <c r="K182" i="2"/>
  <c r="J182" i="2"/>
  <c r="L200" i="2"/>
  <c r="J285" i="2"/>
  <c r="K159" i="2"/>
  <c r="K138" i="2"/>
  <c r="M138" i="2"/>
  <c r="L138" i="2"/>
  <c r="J138" i="2"/>
  <c r="M113" i="2"/>
  <c r="L113" i="2"/>
  <c r="K113" i="2"/>
  <c r="J113" i="2"/>
  <c r="M198" i="2"/>
  <c r="K198" i="2"/>
  <c r="J198" i="2"/>
  <c r="L198" i="2"/>
  <c r="L102" i="2"/>
  <c r="K102" i="2"/>
  <c r="J102" i="2"/>
  <c r="M102" i="2"/>
  <c r="L183" i="2"/>
  <c r="J169" i="2"/>
  <c r="J127" i="2"/>
  <c r="M103" i="2"/>
  <c r="L103" i="2"/>
  <c r="K103" i="2"/>
  <c r="J103" i="2"/>
  <c r="J75" i="2"/>
  <c r="K75" i="2"/>
  <c r="M75" i="2"/>
  <c r="L75" i="2"/>
  <c r="M7" i="2"/>
  <c r="L7" i="2"/>
  <c r="K7" i="2"/>
  <c r="J7" i="2"/>
  <c r="L122" i="2"/>
  <c r="L87" i="2"/>
  <c r="J151" i="2"/>
  <c r="L151" i="2"/>
  <c r="K151" i="2"/>
  <c r="M151" i="2"/>
  <c r="M165" i="2"/>
  <c r="K83" i="2"/>
  <c r="J83" i="2"/>
  <c r="M83" i="2"/>
  <c r="L83" i="2"/>
  <c r="M89" i="2"/>
  <c r="L89" i="2"/>
  <c r="K89" i="2"/>
  <c r="J89" i="2"/>
  <c r="K60" i="2"/>
  <c r="K30" i="2"/>
  <c r="M78" i="2"/>
  <c r="L60" i="2"/>
  <c r="J22" i="2"/>
  <c r="J6" i="2"/>
  <c r="L54" i="2"/>
  <c r="L14" i="2"/>
  <c r="J234" i="2"/>
  <c r="M234" i="2"/>
  <c r="L234" i="2"/>
  <c r="K234" i="2"/>
  <c r="L209" i="2"/>
  <c r="K209" i="2"/>
  <c r="M209" i="2"/>
  <c r="J209" i="2"/>
  <c r="M84" i="2"/>
  <c r="K84" i="2"/>
  <c r="L84" i="2"/>
  <c r="J84" i="2"/>
  <c r="L264" i="2"/>
  <c r="K264" i="2"/>
  <c r="J264" i="2"/>
  <c r="M264" i="2"/>
  <c r="M160" i="2"/>
  <c r="L208" i="2"/>
  <c r="L189" i="2"/>
  <c r="L292" i="2"/>
  <c r="M190" i="2"/>
  <c r="K190" i="2"/>
  <c r="L190" i="2"/>
  <c r="J190" i="2"/>
  <c r="L157" i="2"/>
  <c r="M157" i="2"/>
  <c r="K157" i="2"/>
  <c r="J157" i="2"/>
  <c r="L125" i="2"/>
  <c r="M125" i="2"/>
  <c r="K125" i="2"/>
  <c r="J125" i="2"/>
  <c r="M137" i="2"/>
  <c r="K137" i="2"/>
  <c r="J137" i="2"/>
  <c r="L137" i="2"/>
  <c r="L118" i="2"/>
  <c r="K118" i="2"/>
  <c r="M118" i="2"/>
  <c r="J118" i="2"/>
  <c r="M100" i="2"/>
  <c r="L100" i="2"/>
  <c r="K100" i="2"/>
  <c r="J100" i="2"/>
  <c r="L297" i="2"/>
  <c r="M183" i="2"/>
  <c r="M136" i="2"/>
  <c r="L136" i="2"/>
  <c r="K136" i="2"/>
  <c r="J136" i="2"/>
  <c r="M105" i="2"/>
  <c r="L105" i="2"/>
  <c r="K105" i="2"/>
  <c r="J105" i="2"/>
  <c r="M92" i="2"/>
  <c r="J92" i="2"/>
  <c r="L92" i="2"/>
  <c r="K92" i="2"/>
  <c r="M41" i="2"/>
  <c r="L41" i="2"/>
  <c r="K41" i="2"/>
  <c r="J41" i="2"/>
  <c r="L9" i="2"/>
  <c r="M9" i="2"/>
  <c r="K9" i="2"/>
  <c r="J9" i="2"/>
  <c r="M4" i="2"/>
  <c r="L4" i="2"/>
  <c r="J4" i="2"/>
  <c r="K4" i="2"/>
  <c r="K78" i="2"/>
  <c r="J158" i="2"/>
  <c r="L95" i="2"/>
  <c r="L63" i="2"/>
  <c r="J63" i="2"/>
  <c r="M63" i="2"/>
  <c r="K63" i="2"/>
  <c r="L44" i="2"/>
  <c r="M44" i="2"/>
  <c r="K44" i="2"/>
  <c r="J44" i="2"/>
  <c r="L28" i="2"/>
  <c r="M28" i="2"/>
  <c r="K28" i="2"/>
  <c r="J28" i="2"/>
  <c r="L98" i="2"/>
  <c r="J98" i="2"/>
  <c r="M98" i="2"/>
  <c r="K98" i="2"/>
  <c r="M267" i="2"/>
  <c r="L267" i="2"/>
  <c r="J267" i="2"/>
  <c r="K267" i="2"/>
  <c r="M152" i="2"/>
  <c r="L152" i="2"/>
  <c r="K152" i="2"/>
  <c r="J152" i="2"/>
  <c r="L106" i="2"/>
  <c r="K6" i="2"/>
  <c r="J14" i="2"/>
  <c r="J265" i="2"/>
  <c r="M265" i="2"/>
  <c r="M259" i="2"/>
  <c r="L259" i="2"/>
  <c r="J259" i="2"/>
  <c r="K259" i="2"/>
  <c r="M284" i="2"/>
  <c r="L284" i="2"/>
  <c r="J284" i="2"/>
  <c r="K284" i="2"/>
  <c r="K297" i="2"/>
  <c r="M270" i="2"/>
  <c r="K270" i="2"/>
  <c r="L270" i="2"/>
  <c r="J270" i="2"/>
  <c r="L299" i="2"/>
  <c r="M252" i="2"/>
  <c r="L252" i="2"/>
  <c r="K252" i="2"/>
  <c r="J252" i="2"/>
  <c r="M203" i="2"/>
  <c r="L203" i="2"/>
  <c r="J203" i="2"/>
  <c r="K203" i="2"/>
  <c r="M220" i="2"/>
  <c r="L220" i="2"/>
  <c r="K220" i="2"/>
  <c r="J220" i="2"/>
  <c r="L233" i="2"/>
  <c r="K233" i="2"/>
  <c r="J233" i="2"/>
  <c r="M233" i="2"/>
  <c r="J214" i="2"/>
  <c r="M174" i="2"/>
  <c r="L174" i="2"/>
  <c r="J174" i="2"/>
  <c r="K174" i="2"/>
  <c r="K146" i="2"/>
  <c r="J146" i="2"/>
  <c r="M146" i="2"/>
  <c r="L146" i="2"/>
  <c r="M126" i="2"/>
  <c r="L126" i="2"/>
  <c r="K126" i="2"/>
  <c r="L248" i="2"/>
  <c r="K248" i="2"/>
  <c r="J248" i="2"/>
  <c r="M248" i="2"/>
  <c r="M208" i="2"/>
  <c r="L179" i="2"/>
  <c r="M283" i="2"/>
  <c r="L283" i="2"/>
  <c r="J283" i="2"/>
  <c r="K283" i="2"/>
  <c r="K292" i="2"/>
  <c r="K179" i="2"/>
  <c r="J165" i="2"/>
  <c r="J177" i="2"/>
  <c r="M179" i="2"/>
  <c r="J260" i="2"/>
  <c r="L288" i="2"/>
  <c r="K288" i="2"/>
  <c r="M288" i="2"/>
  <c r="J288" i="2"/>
  <c r="M210" i="2"/>
  <c r="L153" i="2"/>
  <c r="M116" i="2"/>
  <c r="L116" i="2"/>
  <c r="K116" i="2"/>
  <c r="J116" i="2"/>
  <c r="L230" i="2"/>
  <c r="J183" i="2"/>
  <c r="K153" i="2"/>
  <c r="L114" i="2"/>
  <c r="K114" i="2"/>
  <c r="J114" i="2"/>
  <c r="M114" i="2"/>
  <c r="J193" i="2"/>
  <c r="M110" i="2"/>
  <c r="M12" i="2"/>
  <c r="L12" i="2"/>
  <c r="K12" i="2"/>
  <c r="J12" i="2"/>
  <c r="M39" i="2"/>
  <c r="K39" i="2"/>
  <c r="L39" i="2"/>
  <c r="J39" i="2"/>
  <c r="L111" i="2"/>
  <c r="K19" i="2"/>
  <c r="J3" i="2"/>
  <c r="J155" i="2"/>
  <c r="J43" i="2"/>
  <c r="J27" i="2"/>
  <c r="J82" i="2"/>
  <c r="L181" i="2"/>
  <c r="J181" i="2"/>
  <c r="M181" i="2"/>
  <c r="K181" i="2"/>
  <c r="K95" i="2"/>
  <c r="K99" i="2"/>
  <c r="J99" i="2"/>
  <c r="M99" i="2"/>
  <c r="L99" i="2"/>
  <c r="J133" i="2"/>
  <c r="L22" i="2"/>
  <c r="L6" i="2"/>
  <c r="M54" i="2"/>
  <c r="K14" i="2"/>
  <c r="M275" i="2"/>
  <c r="L275" i="2"/>
  <c r="J275" i="2"/>
  <c r="K275" i="2"/>
  <c r="M31" i="2"/>
  <c r="L31" i="2"/>
  <c r="K31" i="2"/>
  <c r="J31" i="2"/>
  <c r="J78" i="2"/>
  <c r="K299" i="2"/>
  <c r="M228" i="2"/>
  <c r="L228" i="2"/>
  <c r="K228" i="2"/>
  <c r="J228" i="2"/>
  <c r="M294" i="2"/>
  <c r="K294" i="2"/>
  <c r="J294" i="2"/>
  <c r="L294" i="2"/>
  <c r="K244" i="2"/>
  <c r="J244" i="2"/>
  <c r="M251" i="2"/>
  <c r="L251" i="2"/>
  <c r="J251" i="2"/>
  <c r="K251" i="2"/>
  <c r="L273" i="2"/>
  <c r="J273" i="2"/>
  <c r="M273" i="2"/>
  <c r="K273" i="2"/>
  <c r="K214" i="2"/>
  <c r="M184" i="2"/>
  <c r="M142" i="2"/>
  <c r="J142" i="2"/>
  <c r="L142" i="2"/>
  <c r="K142" i="2"/>
  <c r="M206" i="2"/>
  <c r="K206" i="2"/>
  <c r="J206" i="2"/>
  <c r="L206" i="2"/>
  <c r="L280" i="2"/>
  <c r="K280" i="2"/>
  <c r="M280" i="2"/>
  <c r="J280" i="2"/>
  <c r="K192" i="2"/>
  <c r="L177" i="2"/>
  <c r="J201" i="2"/>
  <c r="J170" i="2"/>
  <c r="K260" i="2"/>
  <c r="M205" i="2"/>
  <c r="J135" i="2"/>
  <c r="L135" i="2"/>
  <c r="K135" i="2"/>
  <c r="M135" i="2"/>
  <c r="L134" i="2"/>
  <c r="K134" i="2"/>
  <c r="M134" i="2"/>
  <c r="J134" i="2"/>
  <c r="M230" i="2"/>
  <c r="M193" i="2"/>
  <c r="L169" i="2"/>
  <c r="M121" i="2"/>
  <c r="L121" i="2"/>
  <c r="K121" i="2"/>
  <c r="J121" i="2"/>
  <c r="L74" i="2"/>
  <c r="M74" i="2"/>
  <c r="M15" i="2"/>
  <c r="K15" i="2"/>
  <c r="L15" i="2"/>
  <c r="J15" i="2"/>
  <c r="L86" i="2"/>
  <c r="K86" i="2"/>
  <c r="J86" i="2"/>
  <c r="M86" i="2"/>
  <c r="M49" i="2"/>
  <c r="L49" i="2"/>
  <c r="K49" i="2"/>
  <c r="J49" i="2"/>
  <c r="K17" i="2"/>
  <c r="M17" i="2"/>
  <c r="L17" i="2"/>
  <c r="J17" i="2"/>
  <c r="M111" i="2"/>
  <c r="L150" i="2"/>
  <c r="K150" i="2"/>
  <c r="M150" i="2"/>
  <c r="J150" i="2"/>
  <c r="M108" i="2"/>
  <c r="J108" i="2"/>
  <c r="L108" i="2"/>
  <c r="K108" i="2"/>
  <c r="K155" i="2"/>
  <c r="M76" i="2"/>
  <c r="L76" i="2"/>
  <c r="K76" i="2"/>
  <c r="J76" i="2"/>
  <c r="M66" i="2"/>
  <c r="M19" i="2"/>
  <c r="J110" i="2"/>
  <c r="J90" i="2"/>
  <c r="M133" i="2"/>
  <c r="L19" i="2"/>
  <c r="J46" i="2"/>
  <c r="K38" i="2"/>
  <c r="K66" i="2"/>
  <c r="K261" i="2"/>
  <c r="J261" i="2"/>
  <c r="M261" i="2"/>
  <c r="L261" i="2"/>
  <c r="M171" i="2"/>
  <c r="L171" i="2"/>
  <c r="K171" i="2"/>
  <c r="J171" i="2"/>
  <c r="L141" i="2"/>
  <c r="M141" i="2"/>
  <c r="K141" i="2"/>
  <c r="J141" i="2"/>
  <c r="L173" i="2"/>
  <c r="M173" i="2"/>
  <c r="K173" i="2"/>
  <c r="J173" i="2"/>
  <c r="M246" i="2"/>
  <c r="K246" i="2"/>
  <c r="J246" i="2"/>
  <c r="L246" i="2"/>
  <c r="M268" i="2"/>
  <c r="L268" i="2"/>
  <c r="K268" i="2"/>
  <c r="J268" i="2"/>
  <c r="M262" i="2"/>
  <c r="K262" i="2"/>
  <c r="J262" i="2"/>
  <c r="L262" i="2"/>
  <c r="M254" i="2"/>
  <c r="K254" i="2"/>
  <c r="J254" i="2"/>
  <c r="L254" i="2"/>
  <c r="K265" i="2"/>
  <c r="L244" i="2"/>
  <c r="L217" i="2"/>
  <c r="K217" i="2"/>
  <c r="J217" i="2"/>
  <c r="M217" i="2"/>
  <c r="M195" i="2"/>
  <c r="L195" i="2"/>
  <c r="J195" i="2"/>
  <c r="K195" i="2"/>
  <c r="K249" i="2"/>
  <c r="M244" i="2"/>
  <c r="M223" i="2"/>
  <c r="L223" i="2"/>
  <c r="K223" i="2"/>
  <c r="J223" i="2"/>
  <c r="K218" i="2"/>
  <c r="J128" i="2"/>
  <c r="J210" i="2"/>
  <c r="K163" i="2"/>
  <c r="J163" i="2"/>
  <c r="L163" i="2"/>
  <c r="M163" i="2"/>
  <c r="L257" i="2"/>
  <c r="K257" i="2"/>
  <c r="J257" i="2"/>
  <c r="M257" i="2"/>
  <c r="M243" i="2"/>
  <c r="L243" i="2"/>
  <c r="J243" i="2"/>
  <c r="K243" i="2"/>
  <c r="L192" i="2"/>
  <c r="K201" i="2"/>
  <c r="M185" i="2"/>
  <c r="L185" i="2"/>
  <c r="K185" i="2"/>
  <c r="J185" i="2"/>
  <c r="J230" i="2"/>
  <c r="K129" i="2"/>
  <c r="J129" i="2"/>
  <c r="M129" i="2"/>
  <c r="L129" i="2"/>
  <c r="M169" i="2"/>
  <c r="M95" i="2"/>
  <c r="M81" i="2"/>
  <c r="L81" i="2"/>
  <c r="J81" i="2"/>
  <c r="K81" i="2"/>
  <c r="K27" i="2"/>
  <c r="J111" i="2"/>
  <c r="L155" i="2"/>
  <c r="L90" i="2"/>
  <c r="K110" i="2"/>
  <c r="M197" i="2"/>
  <c r="M35" i="2"/>
  <c r="K133" i="2"/>
  <c r="L38" i="2"/>
  <c r="K90" i="2"/>
  <c r="M238" i="2"/>
  <c r="K238" i="2"/>
  <c r="L238" i="2"/>
  <c r="J238" i="2"/>
  <c r="M235" i="2"/>
  <c r="L235" i="2"/>
  <c r="J235" i="2"/>
  <c r="K235" i="2"/>
  <c r="L240" i="2"/>
  <c r="K240" i="2"/>
  <c r="M240" i="2"/>
  <c r="J240" i="2"/>
  <c r="L296" i="2"/>
  <c r="K296" i="2"/>
  <c r="M296" i="2"/>
  <c r="J296" i="2"/>
  <c r="L265" i="2"/>
  <c r="M215" i="2"/>
  <c r="L215" i="2"/>
  <c r="K215" i="2"/>
  <c r="J215" i="2"/>
  <c r="L249" i="2"/>
  <c r="K161" i="2"/>
  <c r="J161" i="2"/>
  <c r="M161" i="2"/>
  <c r="L161" i="2"/>
  <c r="M192" i="2"/>
  <c r="K131" i="2"/>
  <c r="M131" i="2"/>
  <c r="L131" i="2"/>
  <c r="J131" i="2"/>
  <c r="M97" i="2"/>
  <c r="L97" i="2"/>
  <c r="K97" i="2"/>
  <c r="J97" i="2"/>
  <c r="K154" i="2"/>
  <c r="M154" i="2"/>
  <c r="L154" i="2"/>
  <c r="J154" i="2"/>
  <c r="J167" i="2"/>
  <c r="L167" i="2"/>
  <c r="K167" i="2"/>
  <c r="M167" i="2"/>
  <c r="L61" i="2"/>
  <c r="M61" i="2"/>
  <c r="K61" i="2"/>
  <c r="J61" i="2"/>
  <c r="L79" i="2"/>
  <c r="M79" i="2"/>
  <c r="K79" i="2"/>
  <c r="J79" i="2"/>
  <c r="L25" i="2"/>
  <c r="K25" i="2"/>
  <c r="M25" i="2"/>
  <c r="J25" i="2"/>
  <c r="L52" i="2"/>
  <c r="M52" i="2"/>
  <c r="J52" i="2"/>
  <c r="K52" i="2"/>
  <c r="L36" i="2"/>
  <c r="M36" i="2"/>
  <c r="J36" i="2"/>
  <c r="K36" i="2"/>
  <c r="L20" i="2"/>
  <c r="M20" i="2"/>
  <c r="J20" i="2"/>
  <c r="K20" i="2"/>
  <c r="M47" i="2"/>
  <c r="L47" i="2"/>
  <c r="K47" i="2"/>
  <c r="J47" i="2"/>
  <c r="K74" i="2"/>
  <c r="K305" i="2" l="1"/>
  <c r="B3" i="3" s="1"/>
  <c r="C3" i="3" s="1"/>
  <c r="D3" i="3" s="1"/>
  <c r="L30" i="2"/>
  <c r="L305" i="2" s="1"/>
  <c r="B4" i="3" s="1"/>
  <c r="C4" i="3" s="1"/>
  <c r="D4" i="3" s="1"/>
  <c r="J305" i="2"/>
  <c r="B2" i="3" s="1"/>
  <c r="C2" i="3" s="1"/>
  <c r="D2" i="3" s="1"/>
  <c r="M305" i="2"/>
  <c r="B5" i="3" s="1"/>
  <c r="C5" i="3" s="1"/>
  <c r="D5" i="3" s="1"/>
  <c r="J30" i="2"/>
</calcChain>
</file>

<file path=xl/sharedStrings.xml><?xml version="1.0" encoding="utf-8"?>
<sst xmlns="http://schemas.openxmlformats.org/spreadsheetml/2006/main" count="578" uniqueCount="181">
  <si>
    <t>Profile</t>
  </si>
  <si>
    <t>Qty</t>
  </si>
  <si>
    <t>Length (mm)</t>
  </si>
  <si>
    <t>B1</t>
  </si>
  <si>
    <t>tf1</t>
  </si>
  <si>
    <t>Web Depth</t>
  </si>
  <si>
    <t>tw</t>
  </si>
  <si>
    <t>B2</t>
  </si>
  <si>
    <t>tf2</t>
  </si>
  <si>
    <t>16mm</t>
  </si>
  <si>
    <t>20mm</t>
  </si>
  <si>
    <t>32mm</t>
  </si>
  <si>
    <t>40mm</t>
  </si>
  <si>
    <t>Totals (kg)</t>
  </si>
  <si>
    <t>Thickness</t>
  </si>
  <si>
    <t>Net MT</t>
  </si>
  <si>
    <t>With 10% Wastage</t>
  </si>
  <si>
    <t>Plate Qty</t>
  </si>
  <si>
    <t>16 mm</t>
  </si>
  <si>
    <t>20 mm</t>
  </si>
  <si>
    <t>32 mm</t>
  </si>
  <si>
    <t>40 mm</t>
  </si>
  <si>
    <t>Description</t>
  </si>
  <si>
    <t>Total Weight (kg)</t>
  </si>
  <si>
    <t>HR Sections</t>
  </si>
  <si>
    <t>Member Name</t>
  </si>
  <si>
    <t>Length(mm)</t>
  </si>
  <si>
    <t>Weight / Pc(kg)</t>
  </si>
  <si>
    <t>ISA65X65X6</t>
  </si>
  <si>
    <t>V_BRACE</t>
  </si>
  <si>
    <t>ISA75X75X8</t>
  </si>
  <si>
    <t>AUXILIARY GIRDERS</t>
  </si>
  <si>
    <t>ISA90X90X8</t>
  </si>
  <si>
    <t>H_BRACE</t>
  </si>
  <si>
    <t>ISA100X100X10</t>
  </si>
  <si>
    <t>ISA110X110X10</t>
  </si>
  <si>
    <t>ISA130X130X10</t>
  </si>
  <si>
    <t>ISA130X130X12</t>
  </si>
  <si>
    <t>ISA150X150X16</t>
  </si>
  <si>
    <t>ISMC150</t>
  </si>
  <si>
    <t>GIRT</t>
  </si>
  <si>
    <t>ISMC200</t>
  </si>
  <si>
    <t>BEAM</t>
  </si>
  <si>
    <t>ISMC250</t>
  </si>
  <si>
    <t>ISMC300</t>
  </si>
  <si>
    <t>ISMC350</t>
  </si>
  <si>
    <t>ISMC400</t>
  </si>
  <si>
    <t>PG200*20-660*12</t>
  </si>
  <si>
    <t>PG250*16-468*10</t>
  </si>
  <si>
    <t>PG250*20-360*12</t>
  </si>
  <si>
    <t>PG250*20-460*10</t>
  </si>
  <si>
    <t>PG250*20-460*12</t>
  </si>
  <si>
    <t>PG250*20-560*10</t>
  </si>
  <si>
    <t>PG250*25-550*12</t>
  </si>
  <si>
    <t>PG300*20-360*12</t>
  </si>
  <si>
    <t>PG300*20-460*12</t>
  </si>
  <si>
    <t>PG350*20-460*12</t>
  </si>
  <si>
    <t>PG350*20-660*12</t>
  </si>
  <si>
    <t>PG350*25-450*16</t>
  </si>
  <si>
    <t>PG350*25-550*16</t>
  </si>
  <si>
    <t>PG350*25-650*16</t>
  </si>
  <si>
    <t>PG350*25-750*12</t>
  </si>
  <si>
    <t>PG350*32-736*16</t>
  </si>
  <si>
    <t>PG400*32-736*16-350*32</t>
  </si>
  <si>
    <t>PG400*36-528*20</t>
  </si>
  <si>
    <t>COLUMN</t>
  </si>
  <si>
    <t>PG400*36-2328*20</t>
  </si>
  <si>
    <t>PG400*40-920*20</t>
  </si>
  <si>
    <t>PG450*32-3136*20</t>
  </si>
  <si>
    <t>PG500*32-2336*20</t>
  </si>
  <si>
    <t>PG500*40-1120*32</t>
  </si>
  <si>
    <t>PG500*45-910*32</t>
  </si>
  <si>
    <t>PG550*36-3128*25</t>
  </si>
  <si>
    <t>PG600*45-1110*32</t>
  </si>
  <si>
    <t>PG600*45-1160*32</t>
  </si>
  <si>
    <t>PL6*159</t>
  </si>
  <si>
    <t>PLATE</t>
  </si>
  <si>
    <t>PL6*197</t>
  </si>
  <si>
    <t>PL6*207</t>
  </si>
  <si>
    <t>PL6*209</t>
  </si>
  <si>
    <t>PL6*580</t>
  </si>
  <si>
    <t>SPLICE PLATE</t>
  </si>
  <si>
    <t>PL6*695</t>
  </si>
  <si>
    <t>PL8*282</t>
  </si>
  <si>
    <t>PL10*85</t>
  </si>
  <si>
    <t>PL10*212</t>
  </si>
  <si>
    <t>PL10*219.5</t>
  </si>
  <si>
    <t>PL10*222</t>
  </si>
  <si>
    <t>PL10*231.7</t>
  </si>
  <si>
    <t>PL10*247</t>
  </si>
  <si>
    <t>PL10*249</t>
  </si>
  <si>
    <t>PL10*259</t>
  </si>
  <si>
    <t>PL10*260.1</t>
  </si>
  <si>
    <t>PL10*282</t>
  </si>
  <si>
    <t>PL10*284</t>
  </si>
  <si>
    <t>PL10*294</t>
  </si>
  <si>
    <t>PL10*317</t>
  </si>
  <si>
    <t>PL10*331.5</t>
  </si>
  <si>
    <t>PL10*343.1</t>
  </si>
  <si>
    <t>PL10*437.9</t>
  </si>
  <si>
    <t>PL10*1090</t>
  </si>
  <si>
    <t>DIAPHRAGHM PLATE</t>
  </si>
  <si>
    <t>PL12*95</t>
  </si>
  <si>
    <t>PL12*269</t>
  </si>
  <si>
    <t>PL16*130</t>
  </si>
  <si>
    <t>STIFFENER</t>
  </si>
  <si>
    <t>PL16*142.5</t>
  </si>
  <si>
    <t>PL16*198</t>
  </si>
  <si>
    <t>PL16*207</t>
  </si>
  <si>
    <t>PL16*218</t>
  </si>
  <si>
    <t>PL16*248</t>
  </si>
  <si>
    <t>PL16*250</t>
  </si>
  <si>
    <t>PL16*273.4</t>
  </si>
  <si>
    <t>PL16*274</t>
  </si>
  <si>
    <t>PL16*280</t>
  </si>
  <si>
    <t>PL16*285</t>
  </si>
  <si>
    <t>PL16*288.5</t>
  </si>
  <si>
    <t>PL16*298</t>
  </si>
  <si>
    <t>PL16*300</t>
  </si>
  <si>
    <t>PL16*320</t>
  </si>
  <si>
    <t>PL16*330</t>
  </si>
  <si>
    <t>PL16*335.3</t>
  </si>
  <si>
    <t>PL16*349</t>
  </si>
  <si>
    <t>PL16*350</t>
  </si>
  <si>
    <t>PL16*359.9</t>
  </si>
  <si>
    <t>PL16*374</t>
  </si>
  <si>
    <t>PL16*410.5</t>
  </si>
  <si>
    <t>PL16*609</t>
  </si>
  <si>
    <t>PL20*190.3</t>
  </si>
  <si>
    <t>PL20*260</t>
  </si>
  <si>
    <t>PL20*316.9</t>
  </si>
  <si>
    <t>PL20*321</t>
  </si>
  <si>
    <t>PL20*329.4</t>
  </si>
  <si>
    <t>PL20*348.2</t>
  </si>
  <si>
    <t>PL20*391.9</t>
  </si>
  <si>
    <t>PL20*410.5</t>
  </si>
  <si>
    <t>PL20*435.5</t>
  </si>
  <si>
    <t>PL20*438</t>
  </si>
  <si>
    <t>PL20*532</t>
  </si>
  <si>
    <t>PL20*645</t>
  </si>
  <si>
    <t>PL20*700</t>
  </si>
  <si>
    <t>PL25*900</t>
  </si>
  <si>
    <t>PL25*1350</t>
  </si>
  <si>
    <t>PL30*334</t>
  </si>
  <si>
    <t>PL36*145</t>
  </si>
  <si>
    <t>WASHER PLATE</t>
  </si>
  <si>
    <t>PL36*284</t>
  </si>
  <si>
    <t>STIFFENER PLATE</t>
  </si>
  <si>
    <t>PL36*1160</t>
  </si>
  <si>
    <t>PL40*655</t>
  </si>
  <si>
    <t>PL40*800</t>
  </si>
  <si>
    <t>PL45*140</t>
  </si>
  <si>
    <t>PL45*225</t>
  </si>
  <si>
    <t>PL45*900</t>
  </si>
  <si>
    <t>BASE PLATE</t>
  </si>
  <si>
    <t>PL45*1200</t>
  </si>
  <si>
    <t>PL56*900</t>
  </si>
  <si>
    <t>PL63*1100</t>
  </si>
  <si>
    <t>PLT5*150</t>
  </si>
  <si>
    <t>PLT10*70</t>
  </si>
  <si>
    <t>PLT10*250</t>
  </si>
  <si>
    <t>PLT10*275</t>
  </si>
  <si>
    <t>PLT12*400</t>
  </si>
  <si>
    <t>PLT20*65</t>
  </si>
  <si>
    <t>PACK PLATE</t>
  </si>
  <si>
    <t>PLT20*80</t>
  </si>
  <si>
    <t>PLT25*250</t>
  </si>
  <si>
    <t>PLT25*600</t>
  </si>
  <si>
    <t>PLT45*425</t>
  </si>
  <si>
    <t>TS32NB3.2</t>
  </si>
  <si>
    <t>HANDRAIL</t>
  </si>
  <si>
    <t>TS40NB3.2</t>
  </si>
  <si>
    <t>UB203*133*30</t>
  </si>
  <si>
    <t>UB305*165*46</t>
  </si>
  <si>
    <t>UB356*171*57</t>
  </si>
  <si>
    <t>UB406*178*67</t>
  </si>
  <si>
    <t>SHEAR KEY</t>
  </si>
  <si>
    <t>SHORT POST</t>
  </si>
  <si>
    <t>UB406X178X67</t>
  </si>
  <si>
    <t>UB457*152*74</t>
  </si>
  <si>
    <t>UB457*191*74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</si>
</sst>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8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5"/>
  <sheetViews>
    <sheetView workbookViewId="0">
      <selection activeCell="I8" sqref="I8"/>
    </sheetView>
  </sheetViews>
  <sheetFormatPr defaultColWidth="14.85546875" defaultRowHeight="15" x14ac:dyDescent="0.25"/>
  <cols>
    <col min="1" max="1" width="14.140625" bestFit="1" customWidth="1"/>
    <col min="2" max="2" width="14.42578125" bestFit="1" customWidth="1"/>
    <col min="3" max="3" width="4" bestFit="1" customWidth="1"/>
    <col min="4" max="4" width="11.85546875" bestFit="1" customWidth="1"/>
  </cols>
  <sheetData>
    <row r="1" spans="1:5" ht="15.75" thickBot="1" x14ac:dyDescent="0.3">
      <c r="A1" s="1" t="s">
        <v>0</v>
      </c>
      <c r="B1" s="1" t="s">
        <v>25</v>
      </c>
      <c r="C1" s="1" t="s">
        <v>1</v>
      </c>
      <c r="D1" s="1" t="s">
        <v>26</v>
      </c>
      <c r="E1" s="1" t="s">
        <v>27</v>
      </c>
    </row>
    <row r="2" spans="1:5" x14ac:dyDescent="0.25">
      <c r="A2" s="2" t="s">
        <v>28</v>
      </c>
      <c r="B2" s="2" t="s">
        <v>29</v>
      </c>
      <c r="C2" s="2">
        <v>2</v>
      </c>
      <c r="D2" s="2">
        <v>760</v>
      </c>
      <c r="E2" s="2">
        <v>4.4000000000000004</v>
      </c>
    </row>
    <row r="3" spans="1:5" ht="25.5" x14ac:dyDescent="0.25">
      <c r="A3" s="2" t="s">
        <v>30</v>
      </c>
      <c r="B3" s="2" t="s">
        <v>31</v>
      </c>
      <c r="C3" s="2">
        <v>4</v>
      </c>
      <c r="D3" s="2">
        <v>514</v>
      </c>
      <c r="E3" s="2">
        <v>4.5999999999999996</v>
      </c>
    </row>
    <row r="4" spans="1:5" ht="25.5" x14ac:dyDescent="0.25">
      <c r="A4" s="2" t="s">
        <v>30</v>
      </c>
      <c r="B4" s="2" t="s">
        <v>31</v>
      </c>
      <c r="C4" s="2">
        <v>8</v>
      </c>
      <c r="D4" s="2">
        <v>526</v>
      </c>
      <c r="E4" s="2">
        <v>4.7</v>
      </c>
    </row>
    <row r="5" spans="1:5" ht="25.5" x14ac:dyDescent="0.25">
      <c r="A5" s="2" t="s">
        <v>30</v>
      </c>
      <c r="B5" s="2" t="s">
        <v>31</v>
      </c>
      <c r="C5" s="2">
        <v>12</v>
      </c>
      <c r="D5" s="2">
        <v>555</v>
      </c>
      <c r="E5" s="2">
        <v>5</v>
      </c>
    </row>
    <row r="6" spans="1:5" ht="25.5" x14ac:dyDescent="0.25">
      <c r="A6" s="2" t="s">
        <v>30</v>
      </c>
      <c r="B6" s="2" t="s">
        <v>31</v>
      </c>
      <c r="C6" s="2">
        <v>4</v>
      </c>
      <c r="D6" s="2">
        <v>558</v>
      </c>
      <c r="E6" s="2">
        <v>5</v>
      </c>
    </row>
    <row r="7" spans="1:5" ht="25.5" x14ac:dyDescent="0.25">
      <c r="A7" s="2" t="s">
        <v>30</v>
      </c>
      <c r="B7" s="2" t="s">
        <v>31</v>
      </c>
      <c r="C7" s="2">
        <v>8</v>
      </c>
      <c r="D7" s="2">
        <v>660</v>
      </c>
      <c r="E7" s="2">
        <v>5.9</v>
      </c>
    </row>
    <row r="8" spans="1:5" ht="25.5" x14ac:dyDescent="0.25">
      <c r="A8" s="2" t="s">
        <v>30</v>
      </c>
      <c r="B8" s="2" t="s">
        <v>31</v>
      </c>
      <c r="C8" s="2">
        <v>24</v>
      </c>
      <c r="D8" s="2">
        <v>684</v>
      </c>
      <c r="E8" s="2">
        <v>6.1</v>
      </c>
    </row>
    <row r="9" spans="1:5" x14ac:dyDescent="0.25">
      <c r="A9" s="2" t="s">
        <v>32</v>
      </c>
      <c r="B9" s="2" t="s">
        <v>33</v>
      </c>
      <c r="C9" s="2">
        <v>4</v>
      </c>
      <c r="D9" s="2">
        <v>1020</v>
      </c>
      <c r="E9" s="2">
        <v>11</v>
      </c>
    </row>
    <row r="10" spans="1:5" x14ac:dyDescent="0.25">
      <c r="A10" s="2" t="s">
        <v>32</v>
      </c>
      <c r="B10" s="2" t="s">
        <v>33</v>
      </c>
      <c r="C10" s="2">
        <v>6</v>
      </c>
      <c r="D10" s="2">
        <v>1030</v>
      </c>
      <c r="E10" s="2">
        <v>11.2</v>
      </c>
    </row>
    <row r="11" spans="1:5" x14ac:dyDescent="0.25">
      <c r="A11" s="2" t="s">
        <v>32</v>
      </c>
      <c r="B11" s="2" t="s">
        <v>33</v>
      </c>
      <c r="C11" s="2">
        <v>2</v>
      </c>
      <c r="D11" s="2">
        <v>1035</v>
      </c>
      <c r="E11" s="2">
        <v>11.2</v>
      </c>
    </row>
    <row r="12" spans="1:5" x14ac:dyDescent="0.25">
      <c r="A12" s="2" t="s">
        <v>32</v>
      </c>
      <c r="B12" s="2" t="s">
        <v>33</v>
      </c>
      <c r="C12" s="2">
        <v>6</v>
      </c>
      <c r="D12" s="2">
        <v>1046</v>
      </c>
      <c r="E12" s="2">
        <v>11.3</v>
      </c>
    </row>
    <row r="13" spans="1:5" x14ac:dyDescent="0.25">
      <c r="A13" s="2" t="s">
        <v>32</v>
      </c>
      <c r="B13" s="2" t="s">
        <v>33</v>
      </c>
      <c r="C13" s="2">
        <v>32</v>
      </c>
      <c r="D13" s="2">
        <v>1100</v>
      </c>
      <c r="E13" s="2">
        <v>11.9</v>
      </c>
    </row>
    <row r="14" spans="1:5" x14ac:dyDescent="0.25">
      <c r="A14" s="2" t="s">
        <v>32</v>
      </c>
      <c r="B14" s="2" t="s">
        <v>29</v>
      </c>
      <c r="C14" s="2">
        <v>2</v>
      </c>
      <c r="D14" s="2">
        <v>1110</v>
      </c>
      <c r="E14" s="2">
        <v>12</v>
      </c>
    </row>
    <row r="15" spans="1:5" x14ac:dyDescent="0.25">
      <c r="A15" s="2" t="s">
        <v>32</v>
      </c>
      <c r="B15" s="2" t="s">
        <v>29</v>
      </c>
      <c r="C15" s="2">
        <v>6</v>
      </c>
      <c r="D15" s="2">
        <v>1120</v>
      </c>
      <c r="E15" s="2">
        <v>12.1</v>
      </c>
    </row>
    <row r="16" spans="1:5" x14ac:dyDescent="0.25">
      <c r="A16" s="2" t="s">
        <v>32</v>
      </c>
      <c r="B16" s="2" t="s">
        <v>29</v>
      </c>
      <c r="C16" s="2">
        <v>74</v>
      </c>
      <c r="D16" s="2">
        <v>1130</v>
      </c>
      <c r="E16" s="2">
        <v>12.2</v>
      </c>
    </row>
    <row r="17" spans="1:5" x14ac:dyDescent="0.25">
      <c r="A17" s="2" t="s">
        <v>32</v>
      </c>
      <c r="B17" s="2" t="s">
        <v>33</v>
      </c>
      <c r="C17" s="2">
        <v>2</v>
      </c>
      <c r="D17" s="2">
        <v>1171</v>
      </c>
      <c r="E17" s="2">
        <v>12.7</v>
      </c>
    </row>
    <row r="18" spans="1:5" x14ac:dyDescent="0.25">
      <c r="A18" s="2" t="s">
        <v>32</v>
      </c>
      <c r="B18" s="2" t="s">
        <v>33</v>
      </c>
      <c r="C18" s="2">
        <v>8</v>
      </c>
      <c r="D18" s="2">
        <v>1200</v>
      </c>
      <c r="E18" s="2">
        <v>13</v>
      </c>
    </row>
    <row r="19" spans="1:5" x14ac:dyDescent="0.25">
      <c r="A19" s="2" t="s">
        <v>32</v>
      </c>
      <c r="B19" s="2" t="s">
        <v>33</v>
      </c>
      <c r="C19" s="2">
        <v>6</v>
      </c>
      <c r="D19" s="2">
        <v>1201</v>
      </c>
      <c r="E19" s="2">
        <v>13</v>
      </c>
    </row>
    <row r="20" spans="1:5" x14ac:dyDescent="0.25">
      <c r="A20" s="2" t="s">
        <v>32</v>
      </c>
      <c r="B20" s="2" t="s">
        <v>33</v>
      </c>
      <c r="C20" s="2">
        <v>4</v>
      </c>
      <c r="D20" s="2">
        <v>1210</v>
      </c>
      <c r="E20" s="2">
        <v>13.1</v>
      </c>
    </row>
    <row r="21" spans="1:5" x14ac:dyDescent="0.25">
      <c r="A21" s="2" t="s">
        <v>32</v>
      </c>
      <c r="B21" s="2" t="s">
        <v>33</v>
      </c>
      <c r="C21" s="2">
        <v>8</v>
      </c>
      <c r="D21" s="2">
        <v>1221</v>
      </c>
      <c r="E21" s="2">
        <v>13.2</v>
      </c>
    </row>
    <row r="22" spans="1:5" x14ac:dyDescent="0.25">
      <c r="A22" s="2" t="s">
        <v>32</v>
      </c>
      <c r="B22" s="2" t="s">
        <v>29</v>
      </c>
      <c r="C22" s="2">
        <v>4</v>
      </c>
      <c r="D22" s="2">
        <v>1264</v>
      </c>
      <c r="E22" s="2">
        <v>13.7</v>
      </c>
    </row>
    <row r="23" spans="1:5" x14ac:dyDescent="0.25">
      <c r="A23" s="2" t="s">
        <v>32</v>
      </c>
      <c r="B23" s="2" t="s">
        <v>33</v>
      </c>
      <c r="C23" s="2">
        <v>12</v>
      </c>
      <c r="D23" s="2">
        <v>1300</v>
      </c>
      <c r="E23" s="2">
        <v>14.1</v>
      </c>
    </row>
    <row r="24" spans="1:5" x14ac:dyDescent="0.25">
      <c r="A24" s="2" t="s">
        <v>32</v>
      </c>
      <c r="B24" s="2" t="s">
        <v>29</v>
      </c>
      <c r="C24" s="2">
        <v>32</v>
      </c>
      <c r="D24" s="2">
        <v>1307</v>
      </c>
      <c r="E24" s="2">
        <v>14.2</v>
      </c>
    </row>
    <row r="25" spans="1:5" x14ac:dyDescent="0.25">
      <c r="A25" s="2" t="s">
        <v>32</v>
      </c>
      <c r="B25" s="2" t="s">
        <v>29</v>
      </c>
      <c r="C25" s="2">
        <v>17</v>
      </c>
      <c r="D25" s="2">
        <v>1342</v>
      </c>
      <c r="E25" s="2">
        <v>14.5</v>
      </c>
    </row>
    <row r="26" spans="1:5" x14ac:dyDescent="0.25">
      <c r="A26" s="2" t="s">
        <v>32</v>
      </c>
      <c r="B26" s="2" t="s">
        <v>33</v>
      </c>
      <c r="C26" s="2">
        <v>8</v>
      </c>
      <c r="D26" s="2">
        <v>1400</v>
      </c>
      <c r="E26" s="2">
        <v>15.2</v>
      </c>
    </row>
    <row r="27" spans="1:5" x14ac:dyDescent="0.25">
      <c r="A27" s="2" t="s">
        <v>32</v>
      </c>
      <c r="B27" s="2" t="s">
        <v>33</v>
      </c>
      <c r="C27" s="2">
        <v>16</v>
      </c>
      <c r="D27" s="2">
        <v>1450</v>
      </c>
      <c r="E27" s="2">
        <v>15.7</v>
      </c>
    </row>
    <row r="28" spans="1:5" x14ac:dyDescent="0.25">
      <c r="A28" s="2" t="s">
        <v>32</v>
      </c>
      <c r="B28" s="2" t="s">
        <v>33</v>
      </c>
      <c r="C28" s="2">
        <v>24</v>
      </c>
      <c r="D28" s="2">
        <v>1500</v>
      </c>
      <c r="E28" s="2">
        <v>16.2</v>
      </c>
    </row>
    <row r="29" spans="1:5" x14ac:dyDescent="0.25">
      <c r="A29" s="2" t="s">
        <v>32</v>
      </c>
      <c r="B29" s="2" t="s">
        <v>33</v>
      </c>
      <c r="C29" s="2">
        <v>4</v>
      </c>
      <c r="D29" s="2">
        <v>1562</v>
      </c>
      <c r="E29" s="2">
        <v>16.899999999999999</v>
      </c>
    </row>
    <row r="30" spans="1:5" x14ac:dyDescent="0.25">
      <c r="A30" s="2" t="s">
        <v>32</v>
      </c>
      <c r="B30" s="2" t="s">
        <v>33</v>
      </c>
      <c r="C30" s="2">
        <v>4</v>
      </c>
      <c r="D30" s="2">
        <v>1570</v>
      </c>
      <c r="E30" s="2">
        <v>17</v>
      </c>
    </row>
    <row r="31" spans="1:5" x14ac:dyDescent="0.25">
      <c r="A31" s="2" t="s">
        <v>32</v>
      </c>
      <c r="B31" s="2" t="s">
        <v>33</v>
      </c>
      <c r="C31" s="2">
        <v>4</v>
      </c>
      <c r="D31" s="2">
        <v>1649</v>
      </c>
      <c r="E31" s="2">
        <v>17.899999999999999</v>
      </c>
    </row>
    <row r="32" spans="1:5" x14ac:dyDescent="0.25">
      <c r="A32" s="2" t="s">
        <v>32</v>
      </c>
      <c r="B32" s="2" t="s">
        <v>33</v>
      </c>
      <c r="C32" s="2">
        <v>16</v>
      </c>
      <c r="D32" s="2">
        <v>1703</v>
      </c>
      <c r="E32" s="2">
        <v>18.399999999999999</v>
      </c>
    </row>
    <row r="33" spans="1:5" x14ac:dyDescent="0.25">
      <c r="A33" s="2" t="s">
        <v>32</v>
      </c>
      <c r="B33" s="2" t="s">
        <v>33</v>
      </c>
      <c r="C33" s="2">
        <v>8</v>
      </c>
      <c r="D33" s="2">
        <v>1716</v>
      </c>
      <c r="E33" s="2">
        <v>18.600000000000001</v>
      </c>
    </row>
    <row r="34" spans="1:5" x14ac:dyDescent="0.25">
      <c r="A34" s="2" t="s">
        <v>32</v>
      </c>
      <c r="B34" s="2" t="s">
        <v>33</v>
      </c>
      <c r="C34" s="2">
        <v>8</v>
      </c>
      <c r="D34" s="2">
        <v>1780</v>
      </c>
      <c r="E34" s="2">
        <v>19.3</v>
      </c>
    </row>
    <row r="35" spans="1:5" x14ac:dyDescent="0.25">
      <c r="A35" s="2" t="s">
        <v>32</v>
      </c>
      <c r="B35" s="2" t="s">
        <v>33</v>
      </c>
      <c r="C35" s="2">
        <v>4</v>
      </c>
      <c r="D35" s="2">
        <v>1785</v>
      </c>
      <c r="E35" s="2">
        <v>19.3</v>
      </c>
    </row>
    <row r="36" spans="1:5" x14ac:dyDescent="0.25">
      <c r="A36" s="2" t="s">
        <v>32</v>
      </c>
      <c r="B36" s="2" t="s">
        <v>33</v>
      </c>
      <c r="C36" s="2">
        <v>8</v>
      </c>
      <c r="D36" s="2">
        <v>1793</v>
      </c>
      <c r="E36" s="2">
        <v>19.399999999999999</v>
      </c>
    </row>
    <row r="37" spans="1:5" x14ac:dyDescent="0.25">
      <c r="A37" s="2" t="s">
        <v>32</v>
      </c>
      <c r="B37" s="2" t="s">
        <v>33</v>
      </c>
      <c r="C37" s="2">
        <v>32</v>
      </c>
      <c r="D37" s="2">
        <v>2000</v>
      </c>
      <c r="E37" s="2">
        <v>21.7</v>
      </c>
    </row>
    <row r="38" spans="1:5" x14ac:dyDescent="0.25">
      <c r="A38" s="2" t="s">
        <v>32</v>
      </c>
      <c r="B38" s="2" t="s">
        <v>33</v>
      </c>
      <c r="C38" s="2">
        <v>12</v>
      </c>
      <c r="D38" s="2">
        <v>2063</v>
      </c>
      <c r="E38" s="2">
        <v>22.3</v>
      </c>
    </row>
    <row r="39" spans="1:5" x14ac:dyDescent="0.25">
      <c r="A39" s="2" t="s">
        <v>32</v>
      </c>
      <c r="B39" s="2" t="s">
        <v>33</v>
      </c>
      <c r="C39" s="2">
        <v>8</v>
      </c>
      <c r="D39" s="2">
        <v>2145</v>
      </c>
      <c r="E39" s="2">
        <v>23.2</v>
      </c>
    </row>
    <row r="40" spans="1:5" x14ac:dyDescent="0.25">
      <c r="A40" s="2" t="s">
        <v>32</v>
      </c>
      <c r="B40" s="2" t="s">
        <v>33</v>
      </c>
      <c r="C40" s="2">
        <v>24</v>
      </c>
      <c r="D40" s="2">
        <v>2159</v>
      </c>
      <c r="E40" s="2">
        <v>23.4</v>
      </c>
    </row>
    <row r="41" spans="1:5" x14ac:dyDescent="0.25">
      <c r="A41" s="2" t="s">
        <v>32</v>
      </c>
      <c r="B41" s="2" t="s">
        <v>33</v>
      </c>
      <c r="C41" s="2">
        <v>24</v>
      </c>
      <c r="D41" s="2">
        <v>2193</v>
      </c>
      <c r="E41" s="2">
        <v>23.8</v>
      </c>
    </row>
    <row r="42" spans="1:5" x14ac:dyDescent="0.25">
      <c r="A42" s="2" t="s">
        <v>32</v>
      </c>
      <c r="B42" s="2" t="s">
        <v>33</v>
      </c>
      <c r="C42" s="2">
        <v>16</v>
      </c>
      <c r="D42" s="2">
        <v>2385</v>
      </c>
      <c r="E42" s="2">
        <v>25.8</v>
      </c>
    </row>
    <row r="43" spans="1:5" x14ac:dyDescent="0.25">
      <c r="A43" s="2" t="s">
        <v>32</v>
      </c>
      <c r="B43" s="2" t="s">
        <v>29</v>
      </c>
      <c r="C43" s="2">
        <v>12</v>
      </c>
      <c r="D43" s="2">
        <v>2828</v>
      </c>
      <c r="E43" s="2">
        <v>30.6</v>
      </c>
    </row>
    <row r="44" spans="1:5" x14ac:dyDescent="0.25">
      <c r="A44" s="2" t="s">
        <v>34</v>
      </c>
      <c r="B44" s="2" t="s">
        <v>33</v>
      </c>
      <c r="C44" s="2">
        <v>2</v>
      </c>
      <c r="D44" s="2">
        <v>6000</v>
      </c>
      <c r="E44" s="2">
        <v>89.5</v>
      </c>
    </row>
    <row r="45" spans="1:5" x14ac:dyDescent="0.25">
      <c r="A45" s="2" t="s">
        <v>34</v>
      </c>
      <c r="B45" s="2" t="s">
        <v>33</v>
      </c>
      <c r="C45" s="2">
        <v>4</v>
      </c>
      <c r="D45" s="2">
        <v>7810</v>
      </c>
      <c r="E45" s="2">
        <v>116.5</v>
      </c>
    </row>
    <row r="46" spans="1:5" x14ac:dyDescent="0.25">
      <c r="A46" s="2" t="s">
        <v>34</v>
      </c>
      <c r="B46" s="2" t="s">
        <v>33</v>
      </c>
      <c r="C46" s="2">
        <v>4</v>
      </c>
      <c r="D46" s="2">
        <v>8485</v>
      </c>
      <c r="E46" s="2">
        <v>126.6</v>
      </c>
    </row>
    <row r="47" spans="1:5" x14ac:dyDescent="0.25">
      <c r="A47" s="2" t="s">
        <v>35</v>
      </c>
      <c r="B47" s="2" t="s">
        <v>33</v>
      </c>
      <c r="C47" s="2">
        <v>12</v>
      </c>
      <c r="D47" s="2">
        <v>1350</v>
      </c>
      <c r="E47" s="2">
        <v>22.4</v>
      </c>
    </row>
    <row r="48" spans="1:5" x14ac:dyDescent="0.25">
      <c r="A48" s="2" t="s">
        <v>35</v>
      </c>
      <c r="B48" s="2" t="s">
        <v>33</v>
      </c>
      <c r="C48" s="2">
        <v>24</v>
      </c>
      <c r="D48" s="2">
        <v>1500</v>
      </c>
      <c r="E48" s="2">
        <v>24.8</v>
      </c>
    </row>
    <row r="49" spans="1:5" x14ac:dyDescent="0.25">
      <c r="A49" s="2" t="s">
        <v>35</v>
      </c>
      <c r="B49" s="2" t="s">
        <v>33</v>
      </c>
      <c r="C49" s="2">
        <v>4</v>
      </c>
      <c r="D49" s="2">
        <v>1680</v>
      </c>
      <c r="E49" s="2">
        <v>27.8</v>
      </c>
    </row>
    <row r="50" spans="1:5" x14ac:dyDescent="0.25">
      <c r="A50" s="2" t="s">
        <v>35</v>
      </c>
      <c r="B50" s="2" t="s">
        <v>33</v>
      </c>
      <c r="C50" s="2">
        <v>8</v>
      </c>
      <c r="D50" s="2">
        <v>1888</v>
      </c>
      <c r="E50" s="2">
        <v>31.3</v>
      </c>
    </row>
    <row r="51" spans="1:5" x14ac:dyDescent="0.25">
      <c r="A51" s="2" t="s">
        <v>35</v>
      </c>
      <c r="B51" s="2" t="s">
        <v>33</v>
      </c>
      <c r="C51" s="2">
        <v>4</v>
      </c>
      <c r="D51" s="2">
        <v>1916</v>
      </c>
      <c r="E51" s="2">
        <v>31.7</v>
      </c>
    </row>
    <row r="52" spans="1:5" x14ac:dyDescent="0.25">
      <c r="A52" s="2" t="s">
        <v>35</v>
      </c>
      <c r="B52" s="2" t="s">
        <v>33</v>
      </c>
      <c r="C52" s="2">
        <v>8</v>
      </c>
      <c r="D52" s="2">
        <v>2018</v>
      </c>
      <c r="E52" s="2">
        <v>33.4</v>
      </c>
    </row>
    <row r="53" spans="1:5" x14ac:dyDescent="0.25">
      <c r="A53" s="2" t="s">
        <v>35</v>
      </c>
      <c r="B53" s="2" t="s">
        <v>33</v>
      </c>
      <c r="C53" s="2">
        <v>8</v>
      </c>
      <c r="D53" s="2">
        <v>2145</v>
      </c>
      <c r="E53" s="2">
        <v>35.5</v>
      </c>
    </row>
    <row r="54" spans="1:5" x14ac:dyDescent="0.25">
      <c r="A54" s="2" t="s">
        <v>35</v>
      </c>
      <c r="B54" s="2" t="s">
        <v>33</v>
      </c>
      <c r="C54" s="2">
        <v>12</v>
      </c>
      <c r="D54" s="2">
        <v>2157</v>
      </c>
      <c r="E54" s="2">
        <v>35.700000000000003</v>
      </c>
    </row>
    <row r="55" spans="1:5" x14ac:dyDescent="0.25">
      <c r="A55" s="2" t="s">
        <v>35</v>
      </c>
      <c r="B55" s="2" t="s">
        <v>33</v>
      </c>
      <c r="C55" s="2">
        <v>8</v>
      </c>
      <c r="D55" s="2">
        <v>2230</v>
      </c>
      <c r="E55" s="2">
        <v>36.9</v>
      </c>
    </row>
    <row r="56" spans="1:5" x14ac:dyDescent="0.25">
      <c r="A56" s="2" t="s">
        <v>35</v>
      </c>
      <c r="B56" s="2" t="s">
        <v>33</v>
      </c>
      <c r="C56" s="2">
        <v>4</v>
      </c>
      <c r="D56" s="2">
        <v>2267</v>
      </c>
      <c r="E56" s="2">
        <v>37.6</v>
      </c>
    </row>
    <row r="57" spans="1:5" x14ac:dyDescent="0.25">
      <c r="A57" s="2" t="s">
        <v>35</v>
      </c>
      <c r="B57" s="2" t="s">
        <v>33</v>
      </c>
      <c r="C57" s="2">
        <v>16</v>
      </c>
      <c r="D57" s="2">
        <v>2385</v>
      </c>
      <c r="E57" s="2">
        <v>39.5</v>
      </c>
    </row>
    <row r="58" spans="1:5" x14ac:dyDescent="0.25">
      <c r="A58" s="2" t="s">
        <v>35</v>
      </c>
      <c r="B58" s="2" t="s">
        <v>29</v>
      </c>
      <c r="C58" s="2">
        <v>8</v>
      </c>
      <c r="D58" s="2">
        <v>5086</v>
      </c>
      <c r="E58" s="2">
        <v>84.2</v>
      </c>
    </row>
    <row r="59" spans="1:5" ht="25.5" x14ac:dyDescent="0.25">
      <c r="A59" s="2" t="s">
        <v>35</v>
      </c>
      <c r="B59" s="2" t="s">
        <v>31</v>
      </c>
      <c r="C59" s="2">
        <v>4</v>
      </c>
      <c r="D59" s="2">
        <v>7904</v>
      </c>
      <c r="E59" s="2">
        <v>130.9</v>
      </c>
    </row>
    <row r="60" spans="1:5" ht="25.5" x14ac:dyDescent="0.25">
      <c r="A60" s="2" t="s">
        <v>35</v>
      </c>
      <c r="B60" s="2" t="s">
        <v>31</v>
      </c>
      <c r="C60" s="2">
        <v>4</v>
      </c>
      <c r="D60" s="2">
        <v>7918</v>
      </c>
      <c r="E60" s="2">
        <v>131.1</v>
      </c>
    </row>
    <row r="61" spans="1:5" x14ac:dyDescent="0.25">
      <c r="A61" s="2" t="s">
        <v>35</v>
      </c>
      <c r="B61" s="2" t="s">
        <v>29</v>
      </c>
      <c r="C61" s="2">
        <v>4</v>
      </c>
      <c r="D61" s="2">
        <v>8000</v>
      </c>
      <c r="E61" s="2">
        <v>132.5</v>
      </c>
    </row>
    <row r="62" spans="1:5" x14ac:dyDescent="0.25">
      <c r="A62" s="2" t="s">
        <v>36</v>
      </c>
      <c r="B62" s="2" t="s">
        <v>29</v>
      </c>
      <c r="C62" s="2">
        <v>4</v>
      </c>
      <c r="D62" s="2">
        <v>8000</v>
      </c>
      <c r="E62" s="2">
        <v>157.6</v>
      </c>
    </row>
    <row r="63" spans="1:5" x14ac:dyDescent="0.25">
      <c r="A63" s="2" t="s">
        <v>37</v>
      </c>
      <c r="B63" s="2" t="s">
        <v>29</v>
      </c>
      <c r="C63" s="2">
        <v>4</v>
      </c>
      <c r="D63" s="2">
        <v>704</v>
      </c>
      <c r="E63" s="2">
        <v>16.5</v>
      </c>
    </row>
    <row r="64" spans="1:5" x14ac:dyDescent="0.25">
      <c r="A64" s="2" t="s">
        <v>37</v>
      </c>
      <c r="B64" s="2" t="s">
        <v>29</v>
      </c>
      <c r="C64" s="2">
        <v>4</v>
      </c>
      <c r="D64" s="2">
        <v>6700</v>
      </c>
      <c r="E64" s="2">
        <v>157.30000000000001</v>
      </c>
    </row>
    <row r="65" spans="1:5" x14ac:dyDescent="0.25">
      <c r="A65" s="2" t="s">
        <v>37</v>
      </c>
      <c r="B65" s="2" t="s">
        <v>29</v>
      </c>
      <c r="C65" s="2">
        <v>4</v>
      </c>
      <c r="D65" s="2">
        <v>7350</v>
      </c>
      <c r="E65" s="2">
        <v>172.5</v>
      </c>
    </row>
    <row r="66" spans="1:5" x14ac:dyDescent="0.25">
      <c r="A66" s="2" t="s">
        <v>38</v>
      </c>
      <c r="B66" s="2" t="s">
        <v>29</v>
      </c>
      <c r="C66" s="2">
        <v>4</v>
      </c>
      <c r="D66" s="2">
        <v>383</v>
      </c>
      <c r="E66" s="2">
        <v>13.7</v>
      </c>
    </row>
    <row r="67" spans="1:5" x14ac:dyDescent="0.25">
      <c r="A67" s="2" t="s">
        <v>38</v>
      </c>
      <c r="B67" s="2" t="s">
        <v>29</v>
      </c>
      <c r="C67" s="2">
        <v>4</v>
      </c>
      <c r="D67" s="2">
        <v>816</v>
      </c>
      <c r="E67" s="2">
        <v>29.2</v>
      </c>
    </row>
    <row r="68" spans="1:5" x14ac:dyDescent="0.25">
      <c r="A68" s="2" t="s">
        <v>38</v>
      </c>
      <c r="B68" s="2" t="s">
        <v>29</v>
      </c>
      <c r="C68" s="2">
        <v>4</v>
      </c>
      <c r="D68" s="2">
        <v>1369</v>
      </c>
      <c r="E68" s="2">
        <v>49</v>
      </c>
    </row>
    <row r="69" spans="1:5" x14ac:dyDescent="0.25">
      <c r="A69" s="2" t="s">
        <v>38</v>
      </c>
      <c r="B69" s="2" t="s">
        <v>29</v>
      </c>
      <c r="C69" s="2">
        <v>16</v>
      </c>
      <c r="D69" s="2">
        <v>1767</v>
      </c>
      <c r="E69" s="2">
        <v>63.3</v>
      </c>
    </row>
    <row r="70" spans="1:5" x14ac:dyDescent="0.25">
      <c r="A70" s="2" t="s">
        <v>38</v>
      </c>
      <c r="B70" s="2" t="s">
        <v>29</v>
      </c>
      <c r="C70" s="2">
        <v>8</v>
      </c>
      <c r="D70" s="2">
        <v>1773</v>
      </c>
      <c r="E70" s="2">
        <v>63.5</v>
      </c>
    </row>
    <row r="71" spans="1:5" x14ac:dyDescent="0.25">
      <c r="A71" s="2" t="s">
        <v>38</v>
      </c>
      <c r="B71" s="2" t="s">
        <v>29</v>
      </c>
      <c r="C71" s="2">
        <v>24</v>
      </c>
      <c r="D71" s="2">
        <v>1802</v>
      </c>
      <c r="E71" s="2">
        <v>64.5</v>
      </c>
    </row>
    <row r="72" spans="1:5" x14ac:dyDescent="0.25">
      <c r="A72" s="2" t="s">
        <v>38</v>
      </c>
      <c r="B72" s="2" t="s">
        <v>29</v>
      </c>
      <c r="C72" s="2">
        <v>4</v>
      </c>
      <c r="D72" s="2">
        <v>2316</v>
      </c>
      <c r="E72" s="2">
        <v>82.9</v>
      </c>
    </row>
    <row r="73" spans="1:5" x14ac:dyDescent="0.25">
      <c r="A73" s="2" t="s">
        <v>39</v>
      </c>
      <c r="B73" s="2" t="s">
        <v>40</v>
      </c>
      <c r="C73" s="2">
        <v>46</v>
      </c>
      <c r="D73" s="2">
        <v>8000</v>
      </c>
      <c r="E73" s="2">
        <v>133.80000000000001</v>
      </c>
    </row>
    <row r="74" spans="1:5" x14ac:dyDescent="0.25">
      <c r="A74" s="2" t="s">
        <v>41</v>
      </c>
      <c r="B74" s="2" t="s">
        <v>42</v>
      </c>
      <c r="C74" s="2">
        <v>3</v>
      </c>
      <c r="D74" s="2">
        <v>1635</v>
      </c>
      <c r="E74" s="2">
        <v>36.6</v>
      </c>
    </row>
    <row r="75" spans="1:5" x14ac:dyDescent="0.25">
      <c r="A75" s="2" t="s">
        <v>41</v>
      </c>
      <c r="B75" s="2" t="s">
        <v>42</v>
      </c>
      <c r="C75" s="2">
        <v>3</v>
      </c>
      <c r="D75" s="2">
        <v>1700</v>
      </c>
      <c r="E75" s="2">
        <v>38</v>
      </c>
    </row>
    <row r="76" spans="1:5" x14ac:dyDescent="0.25">
      <c r="A76" s="2" t="s">
        <v>41</v>
      </c>
      <c r="B76" s="2" t="s">
        <v>42</v>
      </c>
      <c r="C76" s="2">
        <v>5</v>
      </c>
      <c r="D76" s="2">
        <v>1769</v>
      </c>
      <c r="E76" s="2">
        <v>39.6</v>
      </c>
    </row>
    <row r="77" spans="1:5" x14ac:dyDescent="0.25">
      <c r="A77" s="2" t="s">
        <v>41</v>
      </c>
      <c r="B77" s="2" t="s">
        <v>42</v>
      </c>
      <c r="C77" s="2">
        <v>20</v>
      </c>
      <c r="D77" s="2">
        <v>1772</v>
      </c>
      <c r="E77" s="2">
        <v>39.6</v>
      </c>
    </row>
    <row r="78" spans="1:5" x14ac:dyDescent="0.25">
      <c r="A78" s="2" t="s">
        <v>41</v>
      </c>
      <c r="B78" s="2" t="s">
        <v>42</v>
      </c>
      <c r="C78" s="2">
        <v>56</v>
      </c>
      <c r="D78" s="2">
        <v>2000</v>
      </c>
      <c r="E78" s="2">
        <v>44.7</v>
      </c>
    </row>
    <row r="79" spans="1:5" x14ac:dyDescent="0.25">
      <c r="A79" s="2" t="s">
        <v>43</v>
      </c>
      <c r="B79" s="2" t="s">
        <v>33</v>
      </c>
      <c r="C79" s="2">
        <v>4</v>
      </c>
      <c r="D79" s="2">
        <v>2585</v>
      </c>
      <c r="E79" s="2">
        <v>79.2</v>
      </c>
    </row>
    <row r="80" spans="1:5" x14ac:dyDescent="0.25">
      <c r="A80" s="2" t="s">
        <v>43</v>
      </c>
      <c r="B80" s="2" t="s">
        <v>33</v>
      </c>
      <c r="C80" s="2">
        <v>4</v>
      </c>
      <c r="D80" s="2">
        <v>2821</v>
      </c>
      <c r="E80" s="2">
        <v>86.4</v>
      </c>
    </row>
    <row r="81" spans="1:5" x14ac:dyDescent="0.25">
      <c r="A81" s="2" t="s">
        <v>44</v>
      </c>
      <c r="B81" s="2" t="s">
        <v>42</v>
      </c>
      <c r="C81" s="2">
        <v>3</v>
      </c>
      <c r="D81" s="2">
        <v>2677</v>
      </c>
      <c r="E81" s="2">
        <v>97.3</v>
      </c>
    </row>
    <row r="82" spans="1:5" x14ac:dyDescent="0.25">
      <c r="A82" s="2" t="s">
        <v>44</v>
      </c>
      <c r="B82" s="2" t="s">
        <v>42</v>
      </c>
      <c r="C82" s="2">
        <v>3</v>
      </c>
      <c r="D82" s="2">
        <v>2678</v>
      </c>
      <c r="E82" s="2">
        <v>97.3</v>
      </c>
    </row>
    <row r="83" spans="1:5" x14ac:dyDescent="0.25">
      <c r="A83" s="2" t="s">
        <v>44</v>
      </c>
      <c r="B83" s="2" t="s">
        <v>42</v>
      </c>
      <c r="C83" s="2">
        <v>1</v>
      </c>
      <c r="D83" s="2">
        <v>5600</v>
      </c>
      <c r="E83" s="2">
        <v>203.5</v>
      </c>
    </row>
    <row r="84" spans="1:5" x14ac:dyDescent="0.25">
      <c r="A84" s="2" t="s">
        <v>45</v>
      </c>
      <c r="B84" s="2" t="s">
        <v>42</v>
      </c>
      <c r="C84" s="2">
        <v>2</v>
      </c>
      <c r="D84" s="2">
        <v>2168</v>
      </c>
      <c r="E84" s="2">
        <v>92.6</v>
      </c>
    </row>
    <row r="85" spans="1:5" x14ac:dyDescent="0.25">
      <c r="A85" s="2" t="s">
        <v>45</v>
      </c>
      <c r="B85" s="2" t="s">
        <v>42</v>
      </c>
      <c r="C85" s="2">
        <v>2</v>
      </c>
      <c r="D85" s="2">
        <v>2589</v>
      </c>
      <c r="E85" s="2">
        <v>110.6</v>
      </c>
    </row>
    <row r="86" spans="1:5" x14ac:dyDescent="0.25">
      <c r="A86" s="2" t="s">
        <v>46</v>
      </c>
      <c r="B86" s="2" t="s">
        <v>42</v>
      </c>
      <c r="C86" s="2">
        <v>5</v>
      </c>
      <c r="D86" s="2">
        <v>2000</v>
      </c>
      <c r="E86" s="2">
        <v>100.2</v>
      </c>
    </row>
    <row r="87" spans="1:5" x14ac:dyDescent="0.25">
      <c r="A87" s="2" t="s">
        <v>46</v>
      </c>
      <c r="B87" s="2" t="s">
        <v>42</v>
      </c>
      <c r="C87" s="2">
        <v>2</v>
      </c>
      <c r="D87" s="2">
        <v>2510</v>
      </c>
      <c r="E87" s="2">
        <v>125.7</v>
      </c>
    </row>
    <row r="88" spans="1:5" x14ac:dyDescent="0.25">
      <c r="A88" s="2" t="s">
        <v>46</v>
      </c>
      <c r="B88" s="2" t="s">
        <v>42</v>
      </c>
      <c r="C88" s="2">
        <v>1</v>
      </c>
      <c r="D88" s="2">
        <v>6750</v>
      </c>
      <c r="E88" s="2">
        <v>338.1</v>
      </c>
    </row>
    <row r="89" spans="1:5" x14ac:dyDescent="0.25">
      <c r="A89" s="2" t="s">
        <v>46</v>
      </c>
      <c r="B89" s="2" t="s">
        <v>42</v>
      </c>
      <c r="C89" s="2">
        <v>2</v>
      </c>
      <c r="D89" s="2">
        <v>7300</v>
      </c>
      <c r="E89" s="2">
        <v>365.6</v>
      </c>
    </row>
    <row r="90" spans="1:5" x14ac:dyDescent="0.25">
      <c r="A90" s="2" t="s">
        <v>46</v>
      </c>
      <c r="B90" s="2" t="s">
        <v>42</v>
      </c>
      <c r="C90" s="2">
        <v>2</v>
      </c>
      <c r="D90" s="2">
        <v>8000</v>
      </c>
      <c r="E90" s="2">
        <v>400.7</v>
      </c>
    </row>
    <row r="91" spans="1:5" ht="25.5" x14ac:dyDescent="0.25">
      <c r="A91" s="2" t="s">
        <v>47</v>
      </c>
      <c r="B91" s="2" t="s">
        <v>42</v>
      </c>
      <c r="C91" s="2">
        <v>3</v>
      </c>
      <c r="D91" s="2">
        <v>8000</v>
      </c>
      <c r="E91" s="2">
        <v>999.8</v>
      </c>
    </row>
    <row r="92" spans="1:5" ht="25.5" x14ac:dyDescent="0.25">
      <c r="A92" s="2" t="s">
        <v>47</v>
      </c>
      <c r="B92" s="2" t="s">
        <v>42</v>
      </c>
      <c r="C92" s="2">
        <v>1</v>
      </c>
      <c r="D92" s="2">
        <v>10000</v>
      </c>
      <c r="E92" s="2">
        <v>1249.7</v>
      </c>
    </row>
    <row r="93" spans="1:5" ht="25.5" x14ac:dyDescent="0.25">
      <c r="A93" s="2" t="s">
        <v>47</v>
      </c>
      <c r="B93" s="2" t="s">
        <v>42</v>
      </c>
      <c r="C93" s="2">
        <v>2</v>
      </c>
      <c r="D93" s="2">
        <v>11000</v>
      </c>
      <c r="E93" s="2">
        <v>1374.7</v>
      </c>
    </row>
    <row r="94" spans="1:5" ht="25.5" x14ac:dyDescent="0.25">
      <c r="A94" s="2" t="s">
        <v>48</v>
      </c>
      <c r="B94" s="2" t="s">
        <v>42</v>
      </c>
      <c r="C94" s="2">
        <v>15</v>
      </c>
      <c r="D94" s="2">
        <v>8000</v>
      </c>
      <c r="E94" s="2">
        <v>796.3</v>
      </c>
    </row>
    <row r="95" spans="1:5" ht="25.5" x14ac:dyDescent="0.25">
      <c r="A95" s="2" t="s">
        <v>49</v>
      </c>
      <c r="B95" s="2" t="s">
        <v>42</v>
      </c>
      <c r="C95" s="2">
        <v>2</v>
      </c>
      <c r="D95" s="2">
        <v>2150</v>
      </c>
      <c r="E95" s="2">
        <v>241.7</v>
      </c>
    </row>
    <row r="96" spans="1:5" ht="25.5" x14ac:dyDescent="0.25">
      <c r="A96" s="2" t="s">
        <v>49</v>
      </c>
      <c r="B96" s="2" t="s">
        <v>42</v>
      </c>
      <c r="C96" s="2">
        <v>4</v>
      </c>
      <c r="D96" s="2">
        <v>3490</v>
      </c>
      <c r="E96" s="2">
        <v>392.3</v>
      </c>
    </row>
    <row r="97" spans="1:5" ht="25.5" x14ac:dyDescent="0.25">
      <c r="A97" s="2" t="s">
        <v>49</v>
      </c>
      <c r="B97" s="2" t="s">
        <v>42</v>
      </c>
      <c r="C97" s="2">
        <v>2</v>
      </c>
      <c r="D97" s="2">
        <v>5000</v>
      </c>
      <c r="E97" s="2">
        <v>562.1</v>
      </c>
    </row>
    <row r="98" spans="1:5" ht="25.5" x14ac:dyDescent="0.25">
      <c r="A98" s="2" t="s">
        <v>49</v>
      </c>
      <c r="B98" s="2" t="s">
        <v>42</v>
      </c>
      <c r="C98" s="2">
        <v>2</v>
      </c>
      <c r="D98" s="2">
        <v>6454</v>
      </c>
      <c r="E98" s="2">
        <v>725.5</v>
      </c>
    </row>
    <row r="99" spans="1:5" ht="25.5" x14ac:dyDescent="0.25">
      <c r="A99" s="2" t="s">
        <v>49</v>
      </c>
      <c r="B99" s="2" t="s">
        <v>42</v>
      </c>
      <c r="C99" s="2">
        <v>7</v>
      </c>
      <c r="D99" s="2">
        <v>8000</v>
      </c>
      <c r="E99" s="2">
        <v>899.3</v>
      </c>
    </row>
    <row r="100" spans="1:5" ht="25.5" x14ac:dyDescent="0.25">
      <c r="A100" s="2" t="s">
        <v>50</v>
      </c>
      <c r="B100" s="2" t="s">
        <v>42</v>
      </c>
      <c r="C100" s="2">
        <v>1</v>
      </c>
      <c r="D100" s="2">
        <v>8000</v>
      </c>
      <c r="E100" s="2">
        <v>916.9</v>
      </c>
    </row>
    <row r="101" spans="1:5" ht="25.5" x14ac:dyDescent="0.25">
      <c r="A101" s="2" t="s">
        <v>51</v>
      </c>
      <c r="B101" s="2" t="s">
        <v>42</v>
      </c>
      <c r="C101" s="2">
        <v>2</v>
      </c>
      <c r="D101" s="2">
        <v>4958</v>
      </c>
      <c r="E101" s="2">
        <v>604</v>
      </c>
    </row>
    <row r="102" spans="1:5" ht="25.5" x14ac:dyDescent="0.25">
      <c r="A102" s="2" t="s">
        <v>51</v>
      </c>
      <c r="B102" s="2" t="s">
        <v>42</v>
      </c>
      <c r="C102" s="2">
        <v>1</v>
      </c>
      <c r="D102" s="2">
        <v>5000</v>
      </c>
      <c r="E102" s="2">
        <v>609.20000000000005</v>
      </c>
    </row>
    <row r="103" spans="1:5" ht="25.5" x14ac:dyDescent="0.25">
      <c r="A103" s="2" t="s">
        <v>51</v>
      </c>
      <c r="B103" s="2" t="s">
        <v>42</v>
      </c>
      <c r="C103" s="2">
        <v>1</v>
      </c>
      <c r="D103" s="2">
        <v>7954</v>
      </c>
      <c r="E103" s="2">
        <v>969.1</v>
      </c>
    </row>
    <row r="104" spans="1:5" ht="25.5" x14ac:dyDescent="0.25">
      <c r="A104" s="2" t="s">
        <v>51</v>
      </c>
      <c r="B104" s="2" t="s">
        <v>42</v>
      </c>
      <c r="C104" s="2">
        <v>3</v>
      </c>
      <c r="D104" s="2">
        <v>8000</v>
      </c>
      <c r="E104" s="2">
        <v>974.7</v>
      </c>
    </row>
    <row r="105" spans="1:5" ht="25.5" x14ac:dyDescent="0.25">
      <c r="A105" s="2" t="s">
        <v>52</v>
      </c>
      <c r="B105" s="2" t="s">
        <v>42</v>
      </c>
      <c r="C105" s="2">
        <v>1</v>
      </c>
      <c r="D105" s="2">
        <v>8000</v>
      </c>
      <c r="E105" s="2">
        <v>979.7</v>
      </c>
    </row>
    <row r="106" spans="1:5" ht="25.5" x14ac:dyDescent="0.25">
      <c r="A106" s="2" t="s">
        <v>53</v>
      </c>
      <c r="B106" s="2" t="s">
        <v>42</v>
      </c>
      <c r="C106" s="2">
        <v>2</v>
      </c>
      <c r="D106" s="2">
        <v>11000</v>
      </c>
      <c r="E106" s="2">
        <v>1649.3</v>
      </c>
    </row>
    <row r="107" spans="1:5" ht="25.5" x14ac:dyDescent="0.25">
      <c r="A107" s="2" t="s">
        <v>54</v>
      </c>
      <c r="B107" s="2" t="s">
        <v>42</v>
      </c>
      <c r="C107" s="2">
        <v>2</v>
      </c>
      <c r="D107" s="2">
        <v>5358</v>
      </c>
      <c r="E107" s="2">
        <v>686.4</v>
      </c>
    </row>
    <row r="108" spans="1:5" ht="25.5" x14ac:dyDescent="0.25">
      <c r="A108" s="2" t="s">
        <v>54</v>
      </c>
      <c r="B108" s="2" t="s">
        <v>42</v>
      </c>
      <c r="C108" s="2">
        <v>1</v>
      </c>
      <c r="D108" s="2">
        <v>8000</v>
      </c>
      <c r="E108" s="2">
        <v>1024.9000000000001</v>
      </c>
    </row>
    <row r="109" spans="1:5" ht="25.5" x14ac:dyDescent="0.25">
      <c r="A109" s="2" t="s">
        <v>55</v>
      </c>
      <c r="B109" s="2" t="s">
        <v>42</v>
      </c>
      <c r="C109" s="2">
        <v>2</v>
      </c>
      <c r="D109" s="2">
        <v>8000</v>
      </c>
      <c r="E109" s="2">
        <v>1100.3</v>
      </c>
    </row>
    <row r="110" spans="1:5" ht="25.5" x14ac:dyDescent="0.25">
      <c r="A110" s="2" t="s">
        <v>56</v>
      </c>
      <c r="B110" s="2" t="s">
        <v>42</v>
      </c>
      <c r="C110" s="2">
        <v>5</v>
      </c>
      <c r="D110" s="2">
        <v>7954</v>
      </c>
      <c r="E110" s="2">
        <v>1218.8</v>
      </c>
    </row>
    <row r="111" spans="1:5" ht="25.5" x14ac:dyDescent="0.25">
      <c r="A111" s="2" t="s">
        <v>57</v>
      </c>
      <c r="B111" s="2" t="s">
        <v>42</v>
      </c>
      <c r="C111" s="2">
        <v>8</v>
      </c>
      <c r="D111" s="2">
        <v>8000</v>
      </c>
      <c r="E111" s="2">
        <v>1376.6</v>
      </c>
    </row>
    <row r="112" spans="1:5" ht="25.5" x14ac:dyDescent="0.25">
      <c r="A112" s="2" t="s">
        <v>58</v>
      </c>
      <c r="B112" s="2" t="s">
        <v>42</v>
      </c>
      <c r="C112" s="2">
        <v>1</v>
      </c>
      <c r="D112" s="2">
        <v>7954</v>
      </c>
      <c r="E112" s="2">
        <v>1542.2</v>
      </c>
    </row>
    <row r="113" spans="1:5" ht="25.5" x14ac:dyDescent="0.25">
      <c r="A113" s="2" t="s">
        <v>58</v>
      </c>
      <c r="B113" s="2" t="s">
        <v>42</v>
      </c>
      <c r="C113" s="2">
        <v>2</v>
      </c>
      <c r="D113" s="2">
        <v>8000</v>
      </c>
      <c r="E113" s="2">
        <v>1551.2</v>
      </c>
    </row>
    <row r="114" spans="1:5" ht="25.5" x14ac:dyDescent="0.25">
      <c r="A114" s="2" t="s">
        <v>58</v>
      </c>
      <c r="B114" s="2" t="s">
        <v>42</v>
      </c>
      <c r="C114" s="2">
        <v>2</v>
      </c>
      <c r="D114" s="2">
        <v>11000</v>
      </c>
      <c r="E114" s="2">
        <v>2132.8000000000002</v>
      </c>
    </row>
    <row r="115" spans="1:5" ht="25.5" x14ac:dyDescent="0.25">
      <c r="A115" s="2" t="s">
        <v>59</v>
      </c>
      <c r="B115" s="2" t="s">
        <v>42</v>
      </c>
      <c r="C115" s="2">
        <v>2</v>
      </c>
      <c r="D115" s="2">
        <v>9000</v>
      </c>
      <c r="E115" s="2">
        <v>1858.1</v>
      </c>
    </row>
    <row r="116" spans="1:5" ht="25.5" x14ac:dyDescent="0.25">
      <c r="A116" s="2" t="s">
        <v>59</v>
      </c>
      <c r="B116" s="2" t="s">
        <v>42</v>
      </c>
      <c r="C116" s="2">
        <v>1</v>
      </c>
      <c r="D116" s="2">
        <v>11000</v>
      </c>
      <c r="E116" s="2">
        <v>2271</v>
      </c>
    </row>
    <row r="117" spans="1:5" ht="25.5" x14ac:dyDescent="0.25">
      <c r="A117" s="2" t="s">
        <v>60</v>
      </c>
      <c r="B117" s="2" t="s">
        <v>42</v>
      </c>
      <c r="C117" s="2">
        <v>2</v>
      </c>
      <c r="D117" s="2">
        <v>5000</v>
      </c>
      <c r="E117" s="2">
        <v>1095.0999999999999</v>
      </c>
    </row>
    <row r="118" spans="1:5" ht="25.5" x14ac:dyDescent="0.25">
      <c r="A118" s="2" t="s">
        <v>60</v>
      </c>
      <c r="B118" s="2" t="s">
        <v>42</v>
      </c>
      <c r="C118" s="2">
        <v>1</v>
      </c>
      <c r="D118" s="2">
        <v>8000</v>
      </c>
      <c r="E118" s="2">
        <v>1752.1</v>
      </c>
    </row>
    <row r="119" spans="1:5" ht="25.5" x14ac:dyDescent="0.25">
      <c r="A119" s="2" t="s">
        <v>61</v>
      </c>
      <c r="B119" s="2" t="s">
        <v>42</v>
      </c>
      <c r="C119" s="2">
        <v>1</v>
      </c>
      <c r="D119" s="2">
        <v>8000</v>
      </c>
      <c r="E119" s="2">
        <v>1664.2</v>
      </c>
    </row>
    <row r="120" spans="1:5" ht="25.5" x14ac:dyDescent="0.25">
      <c r="A120" s="2" t="s">
        <v>62</v>
      </c>
      <c r="B120" s="2" t="s">
        <v>42</v>
      </c>
      <c r="C120" s="2">
        <v>1</v>
      </c>
      <c r="D120" s="2">
        <v>8000</v>
      </c>
      <c r="E120" s="2">
        <v>2146.3000000000002</v>
      </c>
    </row>
    <row r="121" spans="1:5" ht="25.5" x14ac:dyDescent="0.25">
      <c r="A121" s="2" t="s">
        <v>63</v>
      </c>
      <c r="B121" s="2" t="s">
        <v>42</v>
      </c>
      <c r="C121" s="2">
        <v>2</v>
      </c>
      <c r="D121" s="2">
        <v>8000</v>
      </c>
      <c r="E121" s="2">
        <v>2246.6999999999998</v>
      </c>
    </row>
    <row r="122" spans="1:5" ht="25.5" x14ac:dyDescent="0.25">
      <c r="A122" s="2" t="s">
        <v>64</v>
      </c>
      <c r="B122" s="2" t="s">
        <v>65</v>
      </c>
      <c r="C122" s="2">
        <v>2</v>
      </c>
      <c r="D122" s="2">
        <v>5453</v>
      </c>
      <c r="E122" s="2">
        <v>1685.5</v>
      </c>
    </row>
    <row r="123" spans="1:5" ht="25.5" x14ac:dyDescent="0.25">
      <c r="A123" s="2" t="s">
        <v>66</v>
      </c>
      <c r="B123" s="2" t="s">
        <v>42</v>
      </c>
      <c r="C123" s="2">
        <v>1</v>
      </c>
      <c r="D123" s="2">
        <v>8000</v>
      </c>
      <c r="E123" s="2">
        <v>4732.6000000000004</v>
      </c>
    </row>
    <row r="124" spans="1:5" ht="25.5" x14ac:dyDescent="0.25">
      <c r="A124" s="2" t="s">
        <v>66</v>
      </c>
      <c r="B124" s="2" t="s">
        <v>42</v>
      </c>
      <c r="C124" s="2">
        <v>1</v>
      </c>
      <c r="D124" s="2">
        <v>10000</v>
      </c>
      <c r="E124" s="2">
        <v>5915.8</v>
      </c>
    </row>
    <row r="125" spans="1:5" ht="25.5" x14ac:dyDescent="0.25">
      <c r="A125" s="2" t="s">
        <v>67</v>
      </c>
      <c r="B125" s="2" t="s">
        <v>42</v>
      </c>
      <c r="C125" s="2">
        <v>3</v>
      </c>
      <c r="D125" s="2">
        <v>11580</v>
      </c>
      <c r="E125" s="2">
        <v>4581.5</v>
      </c>
    </row>
    <row r="126" spans="1:5" ht="25.5" x14ac:dyDescent="0.25">
      <c r="A126" s="2" t="s">
        <v>68</v>
      </c>
      <c r="B126" s="2" t="s">
        <v>42</v>
      </c>
      <c r="C126" s="2">
        <v>2</v>
      </c>
      <c r="D126" s="2">
        <v>8000</v>
      </c>
      <c r="E126" s="2">
        <v>5747.5</v>
      </c>
    </row>
    <row r="127" spans="1:5" ht="25.5" x14ac:dyDescent="0.25">
      <c r="A127" s="2" t="s">
        <v>69</v>
      </c>
      <c r="B127" s="2" t="s">
        <v>42</v>
      </c>
      <c r="C127" s="2">
        <v>2</v>
      </c>
      <c r="D127" s="2">
        <v>5148</v>
      </c>
      <c r="E127" s="2">
        <v>3181.1</v>
      </c>
    </row>
    <row r="128" spans="1:5" ht="25.5" x14ac:dyDescent="0.25">
      <c r="A128" s="2" t="s">
        <v>69</v>
      </c>
      <c r="B128" s="2" t="s">
        <v>42</v>
      </c>
      <c r="C128" s="2">
        <v>2</v>
      </c>
      <c r="D128" s="2">
        <v>5643</v>
      </c>
      <c r="E128" s="2">
        <v>3486.9</v>
      </c>
    </row>
    <row r="129" spans="1:5" ht="25.5" x14ac:dyDescent="0.25">
      <c r="A129" s="2" t="s">
        <v>70</v>
      </c>
      <c r="B129" s="2" t="s">
        <v>65</v>
      </c>
      <c r="C129" s="2">
        <v>2</v>
      </c>
      <c r="D129" s="2">
        <v>4990</v>
      </c>
      <c r="E129" s="2">
        <v>2970.8</v>
      </c>
    </row>
    <row r="130" spans="1:5" ht="25.5" x14ac:dyDescent="0.25">
      <c r="A130" s="2" t="s">
        <v>71</v>
      </c>
      <c r="B130" s="2" t="s">
        <v>65</v>
      </c>
      <c r="C130" s="2">
        <v>2</v>
      </c>
      <c r="D130" s="2">
        <v>8500</v>
      </c>
      <c r="E130" s="2">
        <v>4036.9</v>
      </c>
    </row>
    <row r="131" spans="1:5" ht="25.5" x14ac:dyDescent="0.25">
      <c r="A131" s="2" t="s">
        <v>71</v>
      </c>
      <c r="B131" s="2" t="s">
        <v>65</v>
      </c>
      <c r="C131" s="2">
        <v>2</v>
      </c>
      <c r="D131" s="2">
        <v>10942</v>
      </c>
      <c r="E131" s="2">
        <v>5197.6000000000004</v>
      </c>
    </row>
    <row r="132" spans="1:5" ht="25.5" x14ac:dyDescent="0.25">
      <c r="A132" s="2" t="s">
        <v>72</v>
      </c>
      <c r="B132" s="2" t="s">
        <v>42</v>
      </c>
      <c r="C132" s="2">
        <v>2</v>
      </c>
      <c r="D132" s="2">
        <v>11000</v>
      </c>
      <c r="E132" s="2">
        <v>10172</v>
      </c>
    </row>
    <row r="133" spans="1:5" ht="25.5" x14ac:dyDescent="0.25">
      <c r="A133" s="2" t="s">
        <v>73</v>
      </c>
      <c r="B133" s="2" t="s">
        <v>65</v>
      </c>
      <c r="C133" s="2">
        <v>2</v>
      </c>
      <c r="D133" s="2">
        <v>10935</v>
      </c>
      <c r="E133" s="2">
        <v>7685.8</v>
      </c>
    </row>
    <row r="134" spans="1:5" ht="25.5" x14ac:dyDescent="0.25">
      <c r="A134" s="2" t="s">
        <v>73</v>
      </c>
      <c r="B134" s="2" t="s">
        <v>65</v>
      </c>
      <c r="C134" s="2">
        <v>4</v>
      </c>
      <c r="D134" s="2">
        <v>12000</v>
      </c>
      <c r="E134" s="2">
        <v>8432.7999999999993</v>
      </c>
    </row>
    <row r="135" spans="1:5" ht="25.5" x14ac:dyDescent="0.25">
      <c r="A135" s="2" t="s">
        <v>74</v>
      </c>
      <c r="B135" s="2" t="s">
        <v>65</v>
      </c>
      <c r="C135" s="2">
        <v>4</v>
      </c>
      <c r="D135" s="2">
        <v>6985</v>
      </c>
      <c r="E135" s="2">
        <v>4996.3</v>
      </c>
    </row>
    <row r="136" spans="1:5" ht="25.5" x14ac:dyDescent="0.25">
      <c r="A136" s="2" t="s">
        <v>74</v>
      </c>
      <c r="B136" s="2" t="s">
        <v>65</v>
      </c>
      <c r="C136" s="2">
        <v>4</v>
      </c>
      <c r="D136" s="2">
        <v>10955</v>
      </c>
      <c r="E136" s="2">
        <v>7836</v>
      </c>
    </row>
    <row r="137" spans="1:5" ht="25.5" x14ac:dyDescent="0.25">
      <c r="A137" s="2" t="s">
        <v>74</v>
      </c>
      <c r="B137" s="2" t="s">
        <v>65</v>
      </c>
      <c r="C137" s="2">
        <v>4</v>
      </c>
      <c r="D137" s="2">
        <v>12000</v>
      </c>
      <c r="E137" s="2">
        <v>8583.5</v>
      </c>
    </row>
    <row r="138" spans="1:5" x14ac:dyDescent="0.25">
      <c r="A138" s="2" t="s">
        <v>75</v>
      </c>
      <c r="B138" s="2" t="s">
        <v>76</v>
      </c>
      <c r="C138" s="2">
        <v>2</v>
      </c>
      <c r="D138" s="2">
        <v>405</v>
      </c>
      <c r="E138" s="2">
        <v>3</v>
      </c>
    </row>
    <row r="139" spans="1:5" x14ac:dyDescent="0.25">
      <c r="A139" s="2" t="s">
        <v>77</v>
      </c>
      <c r="B139" s="2" t="s">
        <v>76</v>
      </c>
      <c r="C139" s="2">
        <v>10</v>
      </c>
      <c r="D139" s="2">
        <v>415</v>
      </c>
      <c r="E139" s="2">
        <v>3.9</v>
      </c>
    </row>
    <row r="140" spans="1:5" x14ac:dyDescent="0.25">
      <c r="A140" s="2" t="s">
        <v>78</v>
      </c>
      <c r="B140" s="2" t="s">
        <v>76</v>
      </c>
      <c r="C140" s="2">
        <v>2</v>
      </c>
      <c r="D140" s="2">
        <v>410</v>
      </c>
      <c r="E140" s="2">
        <v>4</v>
      </c>
    </row>
    <row r="141" spans="1:5" x14ac:dyDescent="0.25">
      <c r="A141" s="2" t="s">
        <v>79</v>
      </c>
      <c r="B141" s="2" t="s">
        <v>76</v>
      </c>
      <c r="C141" s="2">
        <v>2</v>
      </c>
      <c r="D141" s="2">
        <v>415</v>
      </c>
      <c r="E141" s="2">
        <v>4.0999999999999996</v>
      </c>
    </row>
    <row r="142" spans="1:5" x14ac:dyDescent="0.25">
      <c r="A142" s="2" t="s">
        <v>80</v>
      </c>
      <c r="B142" s="2" t="s">
        <v>81</v>
      </c>
      <c r="C142" s="2">
        <v>16</v>
      </c>
      <c r="D142" s="2">
        <v>750</v>
      </c>
      <c r="E142" s="2">
        <v>20.5</v>
      </c>
    </row>
    <row r="143" spans="1:5" x14ac:dyDescent="0.25">
      <c r="A143" s="2" t="s">
        <v>82</v>
      </c>
      <c r="B143" s="2" t="s">
        <v>81</v>
      </c>
      <c r="C143" s="2">
        <v>8</v>
      </c>
      <c r="D143" s="2">
        <v>1035</v>
      </c>
      <c r="E143" s="2">
        <v>33.9</v>
      </c>
    </row>
    <row r="144" spans="1:5" x14ac:dyDescent="0.25">
      <c r="A144" s="2" t="s">
        <v>83</v>
      </c>
      <c r="B144" s="2" t="s">
        <v>76</v>
      </c>
      <c r="C144" s="2">
        <v>24</v>
      </c>
      <c r="D144" s="2">
        <v>1158</v>
      </c>
      <c r="E144" s="2">
        <v>20.5</v>
      </c>
    </row>
    <row r="145" spans="1:5" x14ac:dyDescent="0.25">
      <c r="A145" s="2" t="s">
        <v>84</v>
      </c>
      <c r="B145" s="2" t="s">
        <v>76</v>
      </c>
      <c r="C145" s="2">
        <v>4</v>
      </c>
      <c r="D145" s="2">
        <v>205</v>
      </c>
      <c r="E145" s="2">
        <v>1.4</v>
      </c>
    </row>
    <row r="146" spans="1:5" x14ac:dyDescent="0.25">
      <c r="A146" s="2" t="s">
        <v>84</v>
      </c>
      <c r="B146" s="2" t="s">
        <v>76</v>
      </c>
      <c r="C146" s="2">
        <v>4</v>
      </c>
      <c r="D146" s="2">
        <v>210</v>
      </c>
      <c r="E146" s="2">
        <v>1.4</v>
      </c>
    </row>
    <row r="147" spans="1:5" x14ac:dyDescent="0.25">
      <c r="A147" s="2" t="s">
        <v>84</v>
      </c>
      <c r="B147" s="2" t="s">
        <v>76</v>
      </c>
      <c r="C147" s="2">
        <v>16</v>
      </c>
      <c r="D147" s="2">
        <v>270</v>
      </c>
      <c r="E147" s="2">
        <v>1.8</v>
      </c>
    </row>
    <row r="148" spans="1:5" x14ac:dyDescent="0.25">
      <c r="A148" s="2" t="s">
        <v>84</v>
      </c>
      <c r="B148" s="2" t="s">
        <v>76</v>
      </c>
      <c r="C148" s="2">
        <v>5</v>
      </c>
      <c r="D148" s="2">
        <v>277</v>
      </c>
      <c r="E148" s="2">
        <v>1.8</v>
      </c>
    </row>
    <row r="149" spans="1:5" x14ac:dyDescent="0.25">
      <c r="A149" s="2" t="s">
        <v>84</v>
      </c>
      <c r="B149" s="2" t="s">
        <v>76</v>
      </c>
      <c r="C149" s="2">
        <v>3</v>
      </c>
      <c r="D149" s="2">
        <v>281</v>
      </c>
      <c r="E149" s="2">
        <v>1.9</v>
      </c>
    </row>
    <row r="150" spans="1:5" x14ac:dyDescent="0.25">
      <c r="A150" s="2" t="s">
        <v>84</v>
      </c>
      <c r="B150" s="2" t="s">
        <v>76</v>
      </c>
      <c r="C150" s="2">
        <v>5</v>
      </c>
      <c r="D150" s="2">
        <v>282</v>
      </c>
      <c r="E150" s="2">
        <v>1.9</v>
      </c>
    </row>
    <row r="151" spans="1:5" x14ac:dyDescent="0.25">
      <c r="A151" s="2" t="s">
        <v>85</v>
      </c>
      <c r="B151" s="2" t="s">
        <v>76</v>
      </c>
      <c r="C151" s="2">
        <v>6</v>
      </c>
      <c r="D151" s="2">
        <v>332</v>
      </c>
      <c r="E151" s="2">
        <v>5.5</v>
      </c>
    </row>
    <row r="152" spans="1:5" x14ac:dyDescent="0.25">
      <c r="A152" s="2" t="s">
        <v>86</v>
      </c>
      <c r="B152" s="2" t="s">
        <v>76</v>
      </c>
      <c r="C152" s="2">
        <v>20</v>
      </c>
      <c r="D152" s="2">
        <v>283</v>
      </c>
      <c r="E152" s="2">
        <v>4.9000000000000004</v>
      </c>
    </row>
    <row r="153" spans="1:5" x14ac:dyDescent="0.25">
      <c r="A153" s="2" t="s">
        <v>87</v>
      </c>
      <c r="B153" s="2" t="s">
        <v>76</v>
      </c>
      <c r="C153" s="2">
        <v>5</v>
      </c>
      <c r="D153" s="2">
        <v>332</v>
      </c>
      <c r="E153" s="2">
        <v>5.8</v>
      </c>
    </row>
    <row r="154" spans="1:5" x14ac:dyDescent="0.25">
      <c r="A154" s="2" t="s">
        <v>88</v>
      </c>
      <c r="B154" s="2" t="s">
        <v>76</v>
      </c>
      <c r="C154" s="2">
        <v>1</v>
      </c>
      <c r="D154" s="2">
        <v>334</v>
      </c>
      <c r="E154" s="2">
        <v>6.1</v>
      </c>
    </row>
    <row r="155" spans="1:5" x14ac:dyDescent="0.25">
      <c r="A155" s="2" t="s">
        <v>89</v>
      </c>
      <c r="B155" s="2" t="s">
        <v>76</v>
      </c>
      <c r="C155" s="2">
        <v>4</v>
      </c>
      <c r="D155" s="2">
        <v>530</v>
      </c>
      <c r="E155" s="2">
        <v>10.3</v>
      </c>
    </row>
    <row r="156" spans="1:5" x14ac:dyDescent="0.25">
      <c r="A156" s="2" t="s">
        <v>90</v>
      </c>
      <c r="B156" s="2" t="s">
        <v>76</v>
      </c>
      <c r="C156" s="2">
        <v>2</v>
      </c>
      <c r="D156" s="2">
        <v>460</v>
      </c>
      <c r="E156" s="2">
        <v>9</v>
      </c>
    </row>
    <row r="157" spans="1:5" x14ac:dyDescent="0.25">
      <c r="A157" s="2" t="s">
        <v>91</v>
      </c>
      <c r="B157" s="2" t="s">
        <v>76</v>
      </c>
      <c r="C157" s="2">
        <v>25</v>
      </c>
      <c r="D157" s="2">
        <v>360</v>
      </c>
      <c r="E157" s="2">
        <v>7.3</v>
      </c>
    </row>
    <row r="158" spans="1:5" x14ac:dyDescent="0.25">
      <c r="A158" s="2" t="s">
        <v>92</v>
      </c>
      <c r="B158" s="2" t="s">
        <v>76</v>
      </c>
      <c r="C158" s="2">
        <v>8</v>
      </c>
      <c r="D158" s="2">
        <v>381</v>
      </c>
      <c r="E158" s="2">
        <v>7.8</v>
      </c>
    </row>
    <row r="159" spans="1:5" x14ac:dyDescent="0.25">
      <c r="A159" s="2" t="s">
        <v>93</v>
      </c>
      <c r="B159" s="2" t="s">
        <v>76</v>
      </c>
      <c r="C159" s="2">
        <v>48</v>
      </c>
      <c r="D159" s="2">
        <v>1158</v>
      </c>
      <c r="E159" s="2">
        <v>25.6</v>
      </c>
    </row>
    <row r="160" spans="1:5" x14ac:dyDescent="0.25">
      <c r="A160" s="2" t="s">
        <v>94</v>
      </c>
      <c r="B160" s="2" t="s">
        <v>76</v>
      </c>
      <c r="C160" s="2">
        <v>6</v>
      </c>
      <c r="D160" s="2">
        <v>360</v>
      </c>
      <c r="E160" s="2">
        <v>8</v>
      </c>
    </row>
    <row r="161" spans="1:5" x14ac:dyDescent="0.25">
      <c r="A161" s="2" t="s">
        <v>94</v>
      </c>
      <c r="B161" s="2" t="s">
        <v>76</v>
      </c>
      <c r="C161" s="2">
        <v>1</v>
      </c>
      <c r="D161" s="2">
        <v>460</v>
      </c>
      <c r="E161" s="2">
        <v>10.3</v>
      </c>
    </row>
    <row r="162" spans="1:5" x14ac:dyDescent="0.25">
      <c r="A162" s="2" t="s">
        <v>95</v>
      </c>
      <c r="B162" s="2" t="s">
        <v>76</v>
      </c>
      <c r="C162" s="2">
        <v>6</v>
      </c>
      <c r="D162" s="2">
        <v>360</v>
      </c>
      <c r="E162" s="2">
        <v>8.3000000000000007</v>
      </c>
    </row>
    <row r="163" spans="1:5" x14ac:dyDescent="0.25">
      <c r="A163" s="2" t="s">
        <v>96</v>
      </c>
      <c r="B163" s="2" t="s">
        <v>76</v>
      </c>
      <c r="C163" s="2">
        <v>6</v>
      </c>
      <c r="D163" s="2">
        <v>550</v>
      </c>
      <c r="E163" s="2">
        <v>13.7</v>
      </c>
    </row>
    <row r="164" spans="1:5" x14ac:dyDescent="0.25">
      <c r="A164" s="2" t="s">
        <v>97</v>
      </c>
      <c r="B164" s="2" t="s">
        <v>76</v>
      </c>
      <c r="C164" s="2">
        <v>4</v>
      </c>
      <c r="D164" s="2">
        <v>500</v>
      </c>
      <c r="E164" s="2">
        <v>13</v>
      </c>
    </row>
    <row r="165" spans="1:5" x14ac:dyDescent="0.25">
      <c r="A165" s="2" t="s">
        <v>98</v>
      </c>
      <c r="B165" s="2" t="s">
        <v>76</v>
      </c>
      <c r="C165" s="2">
        <v>4</v>
      </c>
      <c r="D165" s="2">
        <v>751</v>
      </c>
      <c r="E165" s="2">
        <v>20.2</v>
      </c>
    </row>
    <row r="166" spans="1:5" x14ac:dyDescent="0.25">
      <c r="A166" s="2" t="s">
        <v>98</v>
      </c>
      <c r="B166" s="2" t="s">
        <v>76</v>
      </c>
      <c r="C166" s="2">
        <v>32</v>
      </c>
      <c r="D166" s="2">
        <v>1136</v>
      </c>
      <c r="E166" s="2">
        <v>30.6</v>
      </c>
    </row>
    <row r="167" spans="1:5" x14ac:dyDescent="0.25">
      <c r="A167" s="2" t="s">
        <v>98</v>
      </c>
      <c r="B167" s="2" t="s">
        <v>76</v>
      </c>
      <c r="C167" s="2">
        <v>4</v>
      </c>
      <c r="D167" s="2">
        <v>1377</v>
      </c>
      <c r="E167" s="2">
        <v>37.1</v>
      </c>
    </row>
    <row r="168" spans="1:5" x14ac:dyDescent="0.25">
      <c r="A168" s="2" t="s">
        <v>99</v>
      </c>
      <c r="B168" s="2" t="s">
        <v>76</v>
      </c>
      <c r="C168" s="2">
        <v>16</v>
      </c>
      <c r="D168" s="2">
        <v>1326</v>
      </c>
      <c r="E168" s="2">
        <v>45.6</v>
      </c>
    </row>
    <row r="169" spans="1:5" ht="25.5" x14ac:dyDescent="0.25">
      <c r="A169" s="2" t="s">
        <v>100</v>
      </c>
      <c r="B169" s="2" t="s">
        <v>101</v>
      </c>
      <c r="C169" s="2">
        <v>12</v>
      </c>
      <c r="D169" s="2">
        <v>1968</v>
      </c>
      <c r="E169" s="2">
        <v>168.4</v>
      </c>
    </row>
    <row r="170" spans="1:5" x14ac:dyDescent="0.25">
      <c r="A170" s="2" t="s">
        <v>102</v>
      </c>
      <c r="B170" s="2" t="s">
        <v>76</v>
      </c>
      <c r="C170" s="2">
        <v>19</v>
      </c>
      <c r="D170" s="2">
        <v>290</v>
      </c>
      <c r="E170" s="2">
        <v>2.6</v>
      </c>
    </row>
    <row r="171" spans="1:5" x14ac:dyDescent="0.25">
      <c r="A171" s="2" t="s">
        <v>102</v>
      </c>
      <c r="B171" s="2" t="s">
        <v>76</v>
      </c>
      <c r="C171" s="2">
        <v>4</v>
      </c>
      <c r="D171" s="2">
        <v>295</v>
      </c>
      <c r="E171" s="2">
        <v>2.6</v>
      </c>
    </row>
    <row r="172" spans="1:5" x14ac:dyDescent="0.25">
      <c r="A172" s="2" t="s">
        <v>102</v>
      </c>
      <c r="B172" s="2" t="s">
        <v>76</v>
      </c>
      <c r="C172" s="2">
        <v>15</v>
      </c>
      <c r="D172" s="2">
        <v>395</v>
      </c>
      <c r="E172" s="2">
        <v>3.5</v>
      </c>
    </row>
    <row r="173" spans="1:5" x14ac:dyDescent="0.25">
      <c r="A173" s="2" t="s">
        <v>102</v>
      </c>
      <c r="B173" s="2" t="s">
        <v>76</v>
      </c>
      <c r="C173" s="2">
        <v>2</v>
      </c>
      <c r="D173" s="2">
        <v>404</v>
      </c>
      <c r="E173" s="2">
        <v>3.6</v>
      </c>
    </row>
    <row r="174" spans="1:5" x14ac:dyDescent="0.25">
      <c r="A174" s="2" t="s">
        <v>102</v>
      </c>
      <c r="B174" s="2" t="s">
        <v>76</v>
      </c>
      <c r="C174" s="2">
        <v>1</v>
      </c>
      <c r="D174" s="2">
        <v>435</v>
      </c>
      <c r="E174" s="2">
        <v>3.9</v>
      </c>
    </row>
    <row r="175" spans="1:5" x14ac:dyDescent="0.25">
      <c r="A175" s="2" t="s">
        <v>103</v>
      </c>
      <c r="B175" s="2" t="s">
        <v>76</v>
      </c>
      <c r="C175" s="2">
        <v>4</v>
      </c>
      <c r="D175" s="2">
        <v>460</v>
      </c>
      <c r="E175" s="2">
        <v>11.7</v>
      </c>
    </row>
    <row r="176" spans="1:5" x14ac:dyDescent="0.25">
      <c r="A176" s="2" t="s">
        <v>104</v>
      </c>
      <c r="B176" s="2" t="s">
        <v>105</v>
      </c>
      <c r="C176" s="2">
        <v>16</v>
      </c>
      <c r="D176" s="2">
        <v>900</v>
      </c>
      <c r="E176" s="2">
        <v>14.7</v>
      </c>
    </row>
    <row r="177" spans="1:5" x14ac:dyDescent="0.25">
      <c r="A177" s="2" t="s">
        <v>106</v>
      </c>
      <c r="B177" s="2" t="s">
        <v>105</v>
      </c>
      <c r="C177" s="2">
        <v>16</v>
      </c>
      <c r="D177" s="2">
        <v>900</v>
      </c>
      <c r="E177" s="2">
        <v>16.100000000000001</v>
      </c>
    </row>
    <row r="178" spans="1:5" x14ac:dyDescent="0.25">
      <c r="A178" s="2" t="s">
        <v>107</v>
      </c>
      <c r="B178" s="2" t="s">
        <v>105</v>
      </c>
      <c r="C178" s="2">
        <v>8</v>
      </c>
      <c r="D178" s="2">
        <v>550</v>
      </c>
      <c r="E178" s="2">
        <v>13.7</v>
      </c>
    </row>
    <row r="179" spans="1:5" x14ac:dyDescent="0.25">
      <c r="A179" s="2" t="s">
        <v>108</v>
      </c>
      <c r="B179" s="2" t="s">
        <v>76</v>
      </c>
      <c r="C179" s="2">
        <v>6</v>
      </c>
      <c r="D179" s="2">
        <v>295</v>
      </c>
      <c r="E179" s="2">
        <v>7.7</v>
      </c>
    </row>
    <row r="180" spans="1:5" x14ac:dyDescent="0.25">
      <c r="A180" s="2" t="s">
        <v>109</v>
      </c>
      <c r="B180" s="2" t="s">
        <v>76</v>
      </c>
      <c r="C180" s="2">
        <v>8</v>
      </c>
      <c r="D180" s="2">
        <v>325</v>
      </c>
      <c r="E180" s="2">
        <v>8.9</v>
      </c>
    </row>
    <row r="181" spans="1:5" x14ac:dyDescent="0.25">
      <c r="A181" s="2" t="s">
        <v>110</v>
      </c>
      <c r="B181" s="2" t="s">
        <v>105</v>
      </c>
      <c r="C181" s="2">
        <v>8</v>
      </c>
      <c r="D181" s="2">
        <v>500</v>
      </c>
      <c r="E181" s="2">
        <v>15.6</v>
      </c>
    </row>
    <row r="182" spans="1:5" x14ac:dyDescent="0.25">
      <c r="A182" s="2" t="s">
        <v>111</v>
      </c>
      <c r="B182" s="2" t="s">
        <v>105</v>
      </c>
      <c r="C182" s="2">
        <v>8</v>
      </c>
      <c r="D182" s="2">
        <v>700</v>
      </c>
      <c r="E182" s="2">
        <v>22</v>
      </c>
    </row>
    <row r="183" spans="1:5" x14ac:dyDescent="0.25">
      <c r="A183" s="2" t="s">
        <v>112</v>
      </c>
      <c r="B183" s="2" t="s">
        <v>76</v>
      </c>
      <c r="C183" s="2">
        <v>4</v>
      </c>
      <c r="D183" s="2">
        <v>349</v>
      </c>
      <c r="E183" s="2">
        <v>12</v>
      </c>
    </row>
    <row r="184" spans="1:5" x14ac:dyDescent="0.25">
      <c r="A184" s="2" t="s">
        <v>113</v>
      </c>
      <c r="B184" s="2" t="s">
        <v>105</v>
      </c>
      <c r="C184" s="2">
        <v>8</v>
      </c>
      <c r="D184" s="2">
        <v>700</v>
      </c>
      <c r="E184" s="2">
        <v>24.1</v>
      </c>
    </row>
    <row r="185" spans="1:5" x14ac:dyDescent="0.25">
      <c r="A185" s="2" t="s">
        <v>114</v>
      </c>
      <c r="B185" s="2" t="s">
        <v>105</v>
      </c>
      <c r="C185" s="2">
        <v>8</v>
      </c>
      <c r="D185" s="2">
        <v>700</v>
      </c>
      <c r="E185" s="2">
        <v>24.6</v>
      </c>
    </row>
    <row r="186" spans="1:5" x14ac:dyDescent="0.25">
      <c r="A186" s="2" t="s">
        <v>115</v>
      </c>
      <c r="B186" s="2" t="s">
        <v>76</v>
      </c>
      <c r="C186" s="2">
        <v>6</v>
      </c>
      <c r="D186" s="2">
        <v>430</v>
      </c>
      <c r="E186" s="2">
        <v>15.4</v>
      </c>
    </row>
    <row r="187" spans="1:5" x14ac:dyDescent="0.25">
      <c r="A187" s="2" t="s">
        <v>116</v>
      </c>
      <c r="B187" s="2" t="s">
        <v>105</v>
      </c>
      <c r="C187" s="2">
        <v>16</v>
      </c>
      <c r="D187" s="2">
        <v>900</v>
      </c>
      <c r="E187" s="2">
        <v>32.6</v>
      </c>
    </row>
    <row r="188" spans="1:5" x14ac:dyDescent="0.25">
      <c r="A188" s="2" t="s">
        <v>117</v>
      </c>
      <c r="B188" s="2" t="s">
        <v>105</v>
      </c>
      <c r="C188" s="2">
        <v>16</v>
      </c>
      <c r="D188" s="2">
        <v>898</v>
      </c>
      <c r="E188" s="2">
        <v>33.6</v>
      </c>
    </row>
    <row r="189" spans="1:5" x14ac:dyDescent="0.25">
      <c r="A189" s="2" t="s">
        <v>118</v>
      </c>
      <c r="B189" s="2" t="s">
        <v>105</v>
      </c>
      <c r="C189" s="2">
        <v>8</v>
      </c>
      <c r="D189" s="2">
        <v>500</v>
      </c>
      <c r="E189" s="2">
        <v>18.8</v>
      </c>
    </row>
    <row r="190" spans="1:5" x14ac:dyDescent="0.25">
      <c r="A190" s="2" t="s">
        <v>118</v>
      </c>
      <c r="B190" s="2" t="s">
        <v>105</v>
      </c>
      <c r="C190" s="2">
        <v>16</v>
      </c>
      <c r="D190" s="2">
        <v>600</v>
      </c>
      <c r="E190" s="2">
        <v>22.6</v>
      </c>
    </row>
    <row r="191" spans="1:5" x14ac:dyDescent="0.25">
      <c r="A191" s="2" t="s">
        <v>119</v>
      </c>
      <c r="B191" s="2" t="s">
        <v>105</v>
      </c>
      <c r="C191" s="2">
        <v>8</v>
      </c>
      <c r="D191" s="2">
        <v>500</v>
      </c>
      <c r="E191" s="2">
        <v>20.100000000000001</v>
      </c>
    </row>
    <row r="192" spans="1:5" x14ac:dyDescent="0.25">
      <c r="A192" s="2" t="s">
        <v>120</v>
      </c>
      <c r="B192" s="2" t="s">
        <v>105</v>
      </c>
      <c r="C192" s="2">
        <v>16</v>
      </c>
      <c r="D192" s="2">
        <v>900</v>
      </c>
      <c r="E192" s="2">
        <v>37.299999999999997</v>
      </c>
    </row>
    <row r="193" spans="1:5" x14ac:dyDescent="0.25">
      <c r="A193" s="2" t="s">
        <v>121</v>
      </c>
      <c r="B193" s="2" t="s">
        <v>76</v>
      </c>
      <c r="C193" s="2">
        <v>6</v>
      </c>
      <c r="D193" s="2">
        <v>568</v>
      </c>
      <c r="E193" s="2">
        <v>23.9</v>
      </c>
    </row>
    <row r="194" spans="1:5" x14ac:dyDescent="0.25">
      <c r="A194" s="2" t="s">
        <v>122</v>
      </c>
      <c r="B194" s="2" t="s">
        <v>76</v>
      </c>
      <c r="C194" s="2">
        <v>6</v>
      </c>
      <c r="D194" s="2">
        <v>694</v>
      </c>
      <c r="E194" s="2">
        <v>30.4</v>
      </c>
    </row>
    <row r="195" spans="1:5" x14ac:dyDescent="0.25">
      <c r="A195" s="2" t="s">
        <v>123</v>
      </c>
      <c r="B195" s="2" t="s">
        <v>105</v>
      </c>
      <c r="C195" s="2">
        <v>8</v>
      </c>
      <c r="D195" s="2">
        <v>550</v>
      </c>
      <c r="E195" s="2">
        <v>24.2</v>
      </c>
    </row>
    <row r="196" spans="1:5" x14ac:dyDescent="0.25">
      <c r="A196" s="2" t="s">
        <v>124</v>
      </c>
      <c r="B196" s="2" t="s">
        <v>76</v>
      </c>
      <c r="C196" s="2">
        <v>2</v>
      </c>
      <c r="D196" s="2">
        <v>586</v>
      </c>
      <c r="E196" s="2">
        <v>26.5</v>
      </c>
    </row>
    <row r="197" spans="1:5" x14ac:dyDescent="0.25">
      <c r="A197" s="2" t="s">
        <v>125</v>
      </c>
      <c r="B197" s="2" t="s">
        <v>105</v>
      </c>
      <c r="C197" s="2">
        <v>8</v>
      </c>
      <c r="D197" s="2">
        <v>550</v>
      </c>
      <c r="E197" s="2">
        <v>25.8</v>
      </c>
    </row>
    <row r="198" spans="1:5" x14ac:dyDescent="0.25">
      <c r="A198" s="2" t="s">
        <v>126</v>
      </c>
      <c r="B198" s="2" t="s">
        <v>105</v>
      </c>
      <c r="C198" s="2">
        <v>16</v>
      </c>
      <c r="D198" s="2">
        <v>900</v>
      </c>
      <c r="E198" s="2">
        <v>46.4</v>
      </c>
    </row>
    <row r="199" spans="1:5" x14ac:dyDescent="0.25">
      <c r="A199" s="2" t="s">
        <v>127</v>
      </c>
      <c r="B199" s="2" t="s">
        <v>105</v>
      </c>
      <c r="C199" s="2">
        <v>8</v>
      </c>
      <c r="D199" s="2">
        <v>900</v>
      </c>
      <c r="E199" s="2">
        <v>68.8</v>
      </c>
    </row>
    <row r="200" spans="1:5" x14ac:dyDescent="0.25">
      <c r="A200" s="2" t="s">
        <v>128</v>
      </c>
      <c r="B200" s="2" t="s">
        <v>76</v>
      </c>
      <c r="C200" s="2">
        <v>4</v>
      </c>
      <c r="D200" s="2">
        <v>285</v>
      </c>
      <c r="E200" s="2">
        <v>8.5</v>
      </c>
    </row>
    <row r="201" spans="1:5" x14ac:dyDescent="0.25">
      <c r="A201" s="2" t="s">
        <v>129</v>
      </c>
      <c r="B201" s="2" t="s">
        <v>76</v>
      </c>
      <c r="C201" s="2">
        <v>2</v>
      </c>
      <c r="D201" s="2">
        <v>292</v>
      </c>
      <c r="E201" s="2">
        <v>11.9</v>
      </c>
    </row>
    <row r="202" spans="1:5" x14ac:dyDescent="0.25">
      <c r="A202" s="2" t="s">
        <v>130</v>
      </c>
      <c r="B202" s="2" t="s">
        <v>76</v>
      </c>
      <c r="C202" s="2">
        <v>16</v>
      </c>
      <c r="D202" s="2">
        <v>531</v>
      </c>
      <c r="E202" s="2">
        <v>26.4</v>
      </c>
    </row>
    <row r="203" spans="1:5" x14ac:dyDescent="0.25">
      <c r="A203" s="2" t="s">
        <v>130</v>
      </c>
      <c r="B203" s="2" t="s">
        <v>76</v>
      </c>
      <c r="C203" s="2">
        <v>2</v>
      </c>
      <c r="D203" s="2">
        <v>747</v>
      </c>
      <c r="E203" s="2">
        <v>37.200000000000003</v>
      </c>
    </row>
    <row r="204" spans="1:5" x14ac:dyDescent="0.25">
      <c r="A204" s="2" t="s">
        <v>131</v>
      </c>
      <c r="B204" s="2" t="s">
        <v>105</v>
      </c>
      <c r="C204" s="2">
        <v>8</v>
      </c>
      <c r="D204" s="2">
        <v>900</v>
      </c>
      <c r="E204" s="2">
        <v>45.4</v>
      </c>
    </row>
    <row r="205" spans="1:5" x14ac:dyDescent="0.25">
      <c r="A205" s="2" t="s">
        <v>132</v>
      </c>
      <c r="B205" s="2" t="s">
        <v>76</v>
      </c>
      <c r="C205" s="2">
        <v>2</v>
      </c>
      <c r="D205" s="2">
        <v>549</v>
      </c>
      <c r="E205" s="2">
        <v>28.4</v>
      </c>
    </row>
    <row r="206" spans="1:5" x14ac:dyDescent="0.25">
      <c r="A206" s="2" t="s">
        <v>133</v>
      </c>
      <c r="B206" s="2" t="s">
        <v>76</v>
      </c>
      <c r="C206" s="2">
        <v>6</v>
      </c>
      <c r="D206" s="2">
        <v>576</v>
      </c>
      <c r="E206" s="2">
        <v>31.5</v>
      </c>
    </row>
    <row r="207" spans="1:5" x14ac:dyDescent="0.25">
      <c r="A207" s="2" t="s">
        <v>134</v>
      </c>
      <c r="B207" s="2" t="s">
        <v>76</v>
      </c>
      <c r="C207" s="2">
        <v>4</v>
      </c>
      <c r="D207" s="2">
        <v>439</v>
      </c>
      <c r="E207" s="2">
        <v>27</v>
      </c>
    </row>
    <row r="208" spans="1:5" x14ac:dyDescent="0.25">
      <c r="A208" s="2" t="s">
        <v>135</v>
      </c>
      <c r="B208" s="2" t="s">
        <v>105</v>
      </c>
      <c r="C208" s="2">
        <v>16</v>
      </c>
      <c r="D208" s="2">
        <v>900</v>
      </c>
      <c r="E208" s="2">
        <v>58</v>
      </c>
    </row>
    <row r="209" spans="1:5" x14ac:dyDescent="0.25">
      <c r="A209" s="2" t="s">
        <v>136</v>
      </c>
      <c r="B209" s="2" t="s">
        <v>105</v>
      </c>
      <c r="C209" s="2">
        <v>8</v>
      </c>
      <c r="D209" s="2">
        <v>700</v>
      </c>
      <c r="E209" s="2">
        <v>47.9</v>
      </c>
    </row>
    <row r="210" spans="1:5" x14ac:dyDescent="0.25">
      <c r="A210" s="2" t="s">
        <v>137</v>
      </c>
      <c r="B210" s="2" t="s">
        <v>105</v>
      </c>
      <c r="C210" s="2">
        <v>8</v>
      </c>
      <c r="D210" s="2">
        <v>600</v>
      </c>
      <c r="E210" s="2">
        <v>41.3</v>
      </c>
    </row>
    <row r="211" spans="1:5" x14ac:dyDescent="0.25">
      <c r="A211" s="2" t="s">
        <v>138</v>
      </c>
      <c r="B211" s="2" t="s">
        <v>76</v>
      </c>
      <c r="C211" s="2">
        <v>12</v>
      </c>
      <c r="D211" s="2">
        <v>900</v>
      </c>
      <c r="E211" s="2">
        <v>75.2</v>
      </c>
    </row>
    <row r="212" spans="1:5" x14ac:dyDescent="0.25">
      <c r="A212" s="2" t="s">
        <v>139</v>
      </c>
      <c r="B212" s="2" t="s">
        <v>81</v>
      </c>
      <c r="C212" s="2">
        <v>16</v>
      </c>
      <c r="D212" s="2">
        <v>995</v>
      </c>
      <c r="E212" s="2">
        <v>100.8</v>
      </c>
    </row>
    <row r="213" spans="1:5" x14ac:dyDescent="0.25">
      <c r="A213" s="2" t="s">
        <v>140</v>
      </c>
      <c r="B213" s="2" t="s">
        <v>105</v>
      </c>
      <c r="C213" s="2">
        <v>8</v>
      </c>
      <c r="D213" s="2">
        <v>1200</v>
      </c>
      <c r="E213" s="2">
        <v>131.9</v>
      </c>
    </row>
    <row r="214" spans="1:5" x14ac:dyDescent="0.25">
      <c r="A214" s="2" t="s">
        <v>141</v>
      </c>
      <c r="B214" s="2" t="s">
        <v>105</v>
      </c>
      <c r="C214" s="2">
        <v>8</v>
      </c>
      <c r="D214" s="2">
        <v>2210</v>
      </c>
      <c r="E214" s="2">
        <v>390.3</v>
      </c>
    </row>
    <row r="215" spans="1:5" x14ac:dyDescent="0.25">
      <c r="A215" s="2" t="s">
        <v>142</v>
      </c>
      <c r="B215" s="2" t="s">
        <v>76</v>
      </c>
      <c r="C215" s="2">
        <v>2</v>
      </c>
      <c r="D215" s="2">
        <v>2700</v>
      </c>
      <c r="E215" s="2">
        <v>715.3</v>
      </c>
    </row>
    <row r="216" spans="1:5" x14ac:dyDescent="0.25">
      <c r="A216" s="2" t="s">
        <v>143</v>
      </c>
      <c r="B216" s="2" t="s">
        <v>105</v>
      </c>
      <c r="C216" s="2">
        <v>12</v>
      </c>
      <c r="D216" s="2">
        <v>800</v>
      </c>
      <c r="E216" s="2">
        <v>62.9</v>
      </c>
    </row>
    <row r="217" spans="1:5" ht="25.5" x14ac:dyDescent="0.25">
      <c r="A217" s="2" t="s">
        <v>144</v>
      </c>
      <c r="B217" s="2" t="s">
        <v>145</v>
      </c>
      <c r="C217" s="2">
        <v>12</v>
      </c>
      <c r="D217" s="2">
        <v>145</v>
      </c>
      <c r="E217" s="2">
        <v>5.9</v>
      </c>
    </row>
    <row r="218" spans="1:5" ht="25.5" x14ac:dyDescent="0.25">
      <c r="A218" s="2" t="s">
        <v>146</v>
      </c>
      <c r="B218" s="2" t="s">
        <v>147</v>
      </c>
      <c r="C218" s="2">
        <v>4</v>
      </c>
      <c r="D218" s="2">
        <v>1160</v>
      </c>
      <c r="E218" s="2">
        <v>93.1</v>
      </c>
    </row>
    <row r="219" spans="1:5" x14ac:dyDescent="0.25">
      <c r="A219" s="2" t="s">
        <v>148</v>
      </c>
      <c r="B219" s="2" t="s">
        <v>76</v>
      </c>
      <c r="C219" s="2">
        <v>2</v>
      </c>
      <c r="D219" s="2">
        <v>1968</v>
      </c>
      <c r="E219" s="2">
        <v>645.1</v>
      </c>
    </row>
    <row r="220" spans="1:5" x14ac:dyDescent="0.25">
      <c r="A220" s="2" t="s">
        <v>149</v>
      </c>
      <c r="B220" s="2" t="s">
        <v>105</v>
      </c>
      <c r="C220" s="2">
        <v>12</v>
      </c>
      <c r="D220" s="2">
        <v>800</v>
      </c>
      <c r="E220" s="2">
        <v>164.5</v>
      </c>
    </row>
    <row r="221" spans="1:5" x14ac:dyDescent="0.25">
      <c r="A221" s="2" t="s">
        <v>150</v>
      </c>
      <c r="B221" s="2" t="s">
        <v>105</v>
      </c>
      <c r="C221" s="2">
        <v>2</v>
      </c>
      <c r="D221" s="2">
        <v>1968</v>
      </c>
      <c r="E221" s="2">
        <v>494.4</v>
      </c>
    </row>
    <row r="222" spans="1:5" ht="25.5" x14ac:dyDescent="0.25">
      <c r="A222" s="2" t="s">
        <v>151</v>
      </c>
      <c r="B222" s="2" t="s">
        <v>145</v>
      </c>
      <c r="C222" s="2">
        <v>12</v>
      </c>
      <c r="D222" s="2">
        <v>140</v>
      </c>
      <c r="E222" s="2">
        <v>6.9</v>
      </c>
    </row>
    <row r="223" spans="1:5" ht="25.5" x14ac:dyDescent="0.25">
      <c r="A223" s="2" t="s">
        <v>152</v>
      </c>
      <c r="B223" s="2" t="s">
        <v>145</v>
      </c>
      <c r="C223" s="2">
        <v>12</v>
      </c>
      <c r="D223" s="2">
        <v>225</v>
      </c>
      <c r="E223" s="2">
        <v>17.899999999999999</v>
      </c>
    </row>
    <row r="224" spans="1:5" x14ac:dyDescent="0.25">
      <c r="A224" s="2" t="s">
        <v>153</v>
      </c>
      <c r="B224" s="2" t="s">
        <v>154</v>
      </c>
      <c r="C224" s="2">
        <v>2</v>
      </c>
      <c r="D224" s="2">
        <v>1200</v>
      </c>
      <c r="E224" s="2">
        <v>381.5</v>
      </c>
    </row>
    <row r="225" spans="1:5" x14ac:dyDescent="0.25">
      <c r="A225" s="2" t="s">
        <v>155</v>
      </c>
      <c r="B225" s="2" t="s">
        <v>154</v>
      </c>
      <c r="C225" s="2">
        <v>4</v>
      </c>
      <c r="D225" s="2">
        <v>1600</v>
      </c>
      <c r="E225" s="2">
        <v>678.2</v>
      </c>
    </row>
    <row r="226" spans="1:5" x14ac:dyDescent="0.25">
      <c r="A226" s="2" t="s">
        <v>156</v>
      </c>
      <c r="B226" s="2" t="s">
        <v>154</v>
      </c>
      <c r="C226" s="2">
        <v>2</v>
      </c>
      <c r="D226" s="2">
        <v>1600</v>
      </c>
      <c r="E226" s="2">
        <v>633</v>
      </c>
    </row>
    <row r="227" spans="1:5" x14ac:dyDescent="0.25">
      <c r="A227" s="2" t="s">
        <v>157</v>
      </c>
      <c r="B227" s="2" t="s">
        <v>154</v>
      </c>
      <c r="C227" s="2">
        <v>2</v>
      </c>
      <c r="D227" s="2">
        <v>1800</v>
      </c>
      <c r="E227" s="2">
        <v>979.2</v>
      </c>
    </row>
    <row r="228" spans="1:5" x14ac:dyDescent="0.25">
      <c r="A228" s="2" t="s">
        <v>158</v>
      </c>
      <c r="B228" s="2" t="s">
        <v>76</v>
      </c>
      <c r="C228" s="2">
        <v>2</v>
      </c>
      <c r="D228" s="2">
        <v>2655</v>
      </c>
      <c r="E228" s="2">
        <v>15.6</v>
      </c>
    </row>
    <row r="229" spans="1:5" x14ac:dyDescent="0.25">
      <c r="A229" s="2" t="s">
        <v>158</v>
      </c>
      <c r="B229" s="2" t="s">
        <v>76</v>
      </c>
      <c r="C229" s="2">
        <v>2</v>
      </c>
      <c r="D229" s="2">
        <v>2760</v>
      </c>
      <c r="E229" s="2">
        <v>16.2</v>
      </c>
    </row>
    <row r="230" spans="1:5" x14ac:dyDescent="0.25">
      <c r="A230" s="2" t="s">
        <v>158</v>
      </c>
      <c r="B230" s="2" t="s">
        <v>76</v>
      </c>
      <c r="C230" s="2">
        <v>4</v>
      </c>
      <c r="D230" s="2">
        <v>3811</v>
      </c>
      <c r="E230" s="2">
        <v>22.4</v>
      </c>
    </row>
    <row r="231" spans="1:5" x14ac:dyDescent="0.25">
      <c r="A231" s="2" t="s">
        <v>158</v>
      </c>
      <c r="B231" s="2" t="s">
        <v>76</v>
      </c>
      <c r="C231" s="2">
        <v>4</v>
      </c>
      <c r="D231" s="2">
        <v>3900</v>
      </c>
      <c r="E231" s="2">
        <v>23</v>
      </c>
    </row>
    <row r="232" spans="1:5" x14ac:dyDescent="0.25">
      <c r="A232" s="2" t="s">
        <v>159</v>
      </c>
      <c r="B232" s="2" t="s">
        <v>76</v>
      </c>
      <c r="C232" s="2">
        <v>42</v>
      </c>
      <c r="D232" s="2">
        <v>140</v>
      </c>
      <c r="E232" s="2">
        <v>0.8</v>
      </c>
    </row>
    <row r="233" spans="1:5" x14ac:dyDescent="0.25">
      <c r="A233" s="2" t="s">
        <v>160</v>
      </c>
      <c r="B233" s="2" t="s">
        <v>76</v>
      </c>
      <c r="C233" s="2">
        <v>8</v>
      </c>
      <c r="D233" s="2">
        <v>198</v>
      </c>
      <c r="E233" s="2">
        <v>3.9</v>
      </c>
    </row>
    <row r="234" spans="1:5" x14ac:dyDescent="0.25">
      <c r="A234" s="2" t="s">
        <v>160</v>
      </c>
      <c r="B234" s="2" t="s">
        <v>76</v>
      </c>
      <c r="C234" s="2">
        <v>40</v>
      </c>
      <c r="D234" s="2">
        <v>250</v>
      </c>
      <c r="E234" s="2">
        <v>4.9000000000000004</v>
      </c>
    </row>
    <row r="235" spans="1:5" x14ac:dyDescent="0.25">
      <c r="A235" s="2" t="s">
        <v>161</v>
      </c>
      <c r="B235" s="2" t="s">
        <v>76</v>
      </c>
      <c r="C235" s="2">
        <v>58</v>
      </c>
      <c r="D235" s="2">
        <v>85</v>
      </c>
      <c r="E235" s="2">
        <v>1.8</v>
      </c>
    </row>
    <row r="236" spans="1:5" x14ac:dyDescent="0.25">
      <c r="A236" s="2" t="s">
        <v>162</v>
      </c>
      <c r="B236" s="2" t="s">
        <v>76</v>
      </c>
      <c r="C236" s="2">
        <v>2</v>
      </c>
      <c r="D236" s="2">
        <v>95</v>
      </c>
      <c r="E236" s="2">
        <v>3.6</v>
      </c>
    </row>
    <row r="237" spans="1:5" x14ac:dyDescent="0.25">
      <c r="A237" s="2" t="s">
        <v>163</v>
      </c>
      <c r="B237" s="2" t="s">
        <v>164</v>
      </c>
      <c r="C237" s="2">
        <v>16</v>
      </c>
      <c r="D237" s="2">
        <v>190</v>
      </c>
      <c r="E237" s="2">
        <v>1.9</v>
      </c>
    </row>
    <row r="238" spans="1:5" x14ac:dyDescent="0.25">
      <c r="A238" s="2" t="s">
        <v>165</v>
      </c>
      <c r="B238" s="2" t="s">
        <v>164</v>
      </c>
      <c r="C238" s="2">
        <v>14</v>
      </c>
      <c r="D238" s="2">
        <v>190</v>
      </c>
      <c r="E238" s="2">
        <v>2.4</v>
      </c>
    </row>
    <row r="239" spans="1:5" x14ac:dyDescent="0.25">
      <c r="A239" s="2" t="s">
        <v>166</v>
      </c>
      <c r="B239" s="2" t="s">
        <v>81</v>
      </c>
      <c r="C239" s="2">
        <v>32</v>
      </c>
      <c r="D239" s="2">
        <v>700</v>
      </c>
      <c r="E239" s="2">
        <v>34.299999999999997</v>
      </c>
    </row>
    <row r="240" spans="1:5" x14ac:dyDescent="0.25">
      <c r="A240" s="2" t="s">
        <v>167</v>
      </c>
      <c r="B240" s="2" t="s">
        <v>81</v>
      </c>
      <c r="C240" s="2">
        <v>16</v>
      </c>
      <c r="D240" s="2">
        <v>700</v>
      </c>
      <c r="E240" s="2">
        <v>82.4</v>
      </c>
    </row>
    <row r="241" spans="1:5" x14ac:dyDescent="0.25">
      <c r="A241" s="2" t="s">
        <v>168</v>
      </c>
      <c r="B241" s="2" t="s">
        <v>105</v>
      </c>
      <c r="C241" s="2">
        <v>8</v>
      </c>
      <c r="D241" s="2">
        <v>1200</v>
      </c>
      <c r="E241" s="2">
        <v>180.2</v>
      </c>
    </row>
    <row r="242" spans="1:5" x14ac:dyDescent="0.25">
      <c r="A242" s="2" t="s">
        <v>169</v>
      </c>
      <c r="B242" s="2" t="s">
        <v>170</v>
      </c>
      <c r="C242" s="2">
        <v>24</v>
      </c>
      <c r="D242" s="2">
        <v>278</v>
      </c>
      <c r="E242" s="2">
        <v>0.9</v>
      </c>
    </row>
    <row r="243" spans="1:5" x14ac:dyDescent="0.25">
      <c r="A243" s="2" t="s">
        <v>169</v>
      </c>
      <c r="B243" s="2" t="s">
        <v>170</v>
      </c>
      <c r="C243" s="2">
        <v>8</v>
      </c>
      <c r="D243" s="2">
        <v>1005</v>
      </c>
      <c r="E243" s="2">
        <v>3.1</v>
      </c>
    </row>
    <row r="244" spans="1:5" x14ac:dyDescent="0.25">
      <c r="A244" s="2" t="s">
        <v>169</v>
      </c>
      <c r="B244" s="2" t="s">
        <v>170</v>
      </c>
      <c r="C244" s="2">
        <v>24</v>
      </c>
      <c r="D244" s="2">
        <v>1048</v>
      </c>
      <c r="E244" s="2">
        <v>3.2</v>
      </c>
    </row>
    <row r="245" spans="1:5" x14ac:dyDescent="0.25">
      <c r="A245" s="2" t="s">
        <v>169</v>
      </c>
      <c r="B245" s="2" t="s">
        <v>170</v>
      </c>
      <c r="C245" s="2">
        <v>8</v>
      </c>
      <c r="D245" s="2">
        <v>1058</v>
      </c>
      <c r="E245" s="2">
        <v>3.3</v>
      </c>
    </row>
    <row r="246" spans="1:5" x14ac:dyDescent="0.25">
      <c r="A246" s="2" t="s">
        <v>169</v>
      </c>
      <c r="B246" s="2" t="s">
        <v>170</v>
      </c>
      <c r="C246" s="2">
        <v>24</v>
      </c>
      <c r="D246" s="2">
        <v>1078</v>
      </c>
      <c r="E246" s="2">
        <v>3.3</v>
      </c>
    </row>
    <row r="247" spans="1:5" x14ac:dyDescent="0.25">
      <c r="A247" s="2" t="s">
        <v>171</v>
      </c>
      <c r="B247" s="2" t="s">
        <v>170</v>
      </c>
      <c r="C247" s="2">
        <v>24</v>
      </c>
      <c r="D247" s="2">
        <v>324</v>
      </c>
      <c r="E247" s="2">
        <v>1.2</v>
      </c>
    </row>
    <row r="248" spans="1:5" x14ac:dyDescent="0.25">
      <c r="A248" s="2" t="s">
        <v>171</v>
      </c>
      <c r="B248" s="2" t="s">
        <v>170</v>
      </c>
      <c r="C248" s="2">
        <v>24</v>
      </c>
      <c r="D248" s="2">
        <v>748</v>
      </c>
      <c r="E248" s="2">
        <v>2.7</v>
      </c>
    </row>
    <row r="249" spans="1:5" x14ac:dyDescent="0.25">
      <c r="A249" s="2" t="s">
        <v>171</v>
      </c>
      <c r="B249" s="2" t="s">
        <v>170</v>
      </c>
      <c r="C249" s="2">
        <v>42</v>
      </c>
      <c r="D249" s="2">
        <v>990</v>
      </c>
      <c r="E249" s="2">
        <v>3.5</v>
      </c>
    </row>
    <row r="250" spans="1:5" x14ac:dyDescent="0.25">
      <c r="A250" s="2" t="s">
        <v>171</v>
      </c>
      <c r="B250" s="2" t="s">
        <v>170</v>
      </c>
      <c r="C250" s="2">
        <v>2</v>
      </c>
      <c r="D250" s="2">
        <v>1000</v>
      </c>
      <c r="E250" s="2">
        <v>3.6</v>
      </c>
    </row>
    <row r="251" spans="1:5" x14ac:dyDescent="0.25">
      <c r="A251" s="2" t="s">
        <v>171</v>
      </c>
      <c r="B251" s="2" t="s">
        <v>170</v>
      </c>
      <c r="C251" s="2">
        <v>2</v>
      </c>
      <c r="D251" s="2">
        <v>2703</v>
      </c>
      <c r="E251" s="2">
        <v>9.6</v>
      </c>
    </row>
    <row r="252" spans="1:5" x14ac:dyDescent="0.25">
      <c r="A252" s="2" t="s">
        <v>171</v>
      </c>
      <c r="B252" s="2" t="s">
        <v>170</v>
      </c>
      <c r="C252" s="2">
        <v>2</v>
      </c>
      <c r="D252" s="2">
        <v>2808</v>
      </c>
      <c r="E252" s="2">
        <v>10</v>
      </c>
    </row>
    <row r="253" spans="1:5" x14ac:dyDescent="0.25">
      <c r="A253" s="2" t="s">
        <v>171</v>
      </c>
      <c r="B253" s="2" t="s">
        <v>170</v>
      </c>
      <c r="C253" s="2">
        <v>4</v>
      </c>
      <c r="D253" s="2">
        <v>3859</v>
      </c>
      <c r="E253" s="2">
        <v>13.7</v>
      </c>
    </row>
    <row r="254" spans="1:5" x14ac:dyDescent="0.25">
      <c r="A254" s="2" t="s">
        <v>171</v>
      </c>
      <c r="B254" s="2" t="s">
        <v>170</v>
      </c>
      <c r="C254" s="2">
        <v>4</v>
      </c>
      <c r="D254" s="2">
        <v>3948</v>
      </c>
      <c r="E254" s="2">
        <v>14</v>
      </c>
    </row>
    <row r="255" spans="1:5" x14ac:dyDescent="0.25">
      <c r="A255" s="2" t="s">
        <v>172</v>
      </c>
      <c r="B255" s="2" t="s">
        <v>42</v>
      </c>
      <c r="C255" s="2">
        <v>4</v>
      </c>
      <c r="D255" s="2">
        <v>3490</v>
      </c>
      <c r="E255" s="2">
        <v>104.7</v>
      </c>
    </row>
    <row r="256" spans="1:5" x14ac:dyDescent="0.25">
      <c r="A256" s="2" t="s">
        <v>173</v>
      </c>
      <c r="B256" s="2" t="s">
        <v>42</v>
      </c>
      <c r="C256" s="2">
        <v>4</v>
      </c>
      <c r="D256" s="2">
        <v>1956</v>
      </c>
      <c r="E256" s="2">
        <v>90.2</v>
      </c>
    </row>
    <row r="257" spans="1:5" x14ac:dyDescent="0.25">
      <c r="A257" s="2" t="s">
        <v>173</v>
      </c>
      <c r="B257" s="2" t="s">
        <v>42</v>
      </c>
      <c r="C257" s="2">
        <v>4</v>
      </c>
      <c r="D257" s="2">
        <v>8000</v>
      </c>
      <c r="E257" s="2">
        <v>369</v>
      </c>
    </row>
    <row r="258" spans="1:5" x14ac:dyDescent="0.25">
      <c r="A258" s="2" t="s">
        <v>174</v>
      </c>
      <c r="B258" s="2" t="s">
        <v>42</v>
      </c>
      <c r="C258" s="2">
        <v>3</v>
      </c>
      <c r="D258" s="2">
        <v>2150</v>
      </c>
      <c r="E258" s="2">
        <v>122.5</v>
      </c>
    </row>
    <row r="259" spans="1:5" x14ac:dyDescent="0.25">
      <c r="A259" s="2" t="s">
        <v>174</v>
      </c>
      <c r="B259" s="2" t="s">
        <v>42</v>
      </c>
      <c r="C259" s="2">
        <v>1</v>
      </c>
      <c r="D259" s="2">
        <v>3000</v>
      </c>
      <c r="E259" s="2">
        <v>170.9</v>
      </c>
    </row>
    <row r="260" spans="1:5" x14ac:dyDescent="0.25">
      <c r="A260" s="2" t="s">
        <v>174</v>
      </c>
      <c r="B260" s="2" t="s">
        <v>42</v>
      </c>
      <c r="C260" s="2">
        <v>5</v>
      </c>
      <c r="D260" s="2">
        <v>4956</v>
      </c>
      <c r="E260" s="2">
        <v>282.3</v>
      </c>
    </row>
    <row r="261" spans="1:5" x14ac:dyDescent="0.25">
      <c r="A261" s="2" t="s">
        <v>174</v>
      </c>
      <c r="B261" s="2" t="s">
        <v>42</v>
      </c>
      <c r="C261" s="2">
        <v>30</v>
      </c>
      <c r="D261" s="2">
        <v>4958</v>
      </c>
      <c r="E261" s="2">
        <v>282.39999999999998</v>
      </c>
    </row>
    <row r="262" spans="1:5" x14ac:dyDescent="0.25">
      <c r="A262" s="2" t="s">
        <v>174</v>
      </c>
      <c r="B262" s="2" t="s">
        <v>42</v>
      </c>
      <c r="C262" s="2">
        <v>8</v>
      </c>
      <c r="D262" s="2">
        <v>4960</v>
      </c>
      <c r="E262" s="2">
        <v>282.5</v>
      </c>
    </row>
    <row r="263" spans="1:5" x14ac:dyDescent="0.25">
      <c r="A263" s="2" t="s">
        <v>174</v>
      </c>
      <c r="B263" s="2" t="s">
        <v>42</v>
      </c>
      <c r="C263" s="2">
        <v>1</v>
      </c>
      <c r="D263" s="2">
        <v>4979</v>
      </c>
      <c r="E263" s="2">
        <v>283.60000000000002</v>
      </c>
    </row>
    <row r="264" spans="1:5" x14ac:dyDescent="0.25">
      <c r="A264" s="2" t="s">
        <v>174</v>
      </c>
      <c r="B264" s="2" t="s">
        <v>42</v>
      </c>
      <c r="C264" s="2">
        <v>7</v>
      </c>
      <c r="D264" s="2">
        <v>5000</v>
      </c>
      <c r="E264" s="2">
        <v>284.8</v>
      </c>
    </row>
    <row r="265" spans="1:5" x14ac:dyDescent="0.25">
      <c r="A265" s="2" t="s">
        <v>174</v>
      </c>
      <c r="B265" s="2" t="s">
        <v>42</v>
      </c>
      <c r="C265" s="2">
        <v>11</v>
      </c>
      <c r="D265" s="2">
        <v>8000</v>
      </c>
      <c r="E265" s="2">
        <v>455.7</v>
      </c>
    </row>
    <row r="266" spans="1:5" x14ac:dyDescent="0.25">
      <c r="A266" s="2" t="s">
        <v>175</v>
      </c>
      <c r="B266" s="2" t="s">
        <v>176</v>
      </c>
      <c r="C266" s="2">
        <v>14</v>
      </c>
      <c r="D266" s="2">
        <v>350</v>
      </c>
      <c r="E266" s="2">
        <v>23.5</v>
      </c>
    </row>
    <row r="267" spans="1:5" x14ac:dyDescent="0.25">
      <c r="A267" s="2" t="s">
        <v>175</v>
      </c>
      <c r="B267" s="2" t="s">
        <v>42</v>
      </c>
      <c r="C267" s="2">
        <v>3</v>
      </c>
      <c r="D267" s="2">
        <v>5000</v>
      </c>
      <c r="E267" s="2">
        <v>335.7</v>
      </c>
    </row>
    <row r="268" spans="1:5" x14ac:dyDescent="0.25">
      <c r="A268" s="2" t="s">
        <v>175</v>
      </c>
      <c r="B268" s="2" t="s">
        <v>42</v>
      </c>
      <c r="C268" s="2">
        <v>2</v>
      </c>
      <c r="D268" s="2">
        <v>6454</v>
      </c>
      <c r="E268" s="2">
        <v>433.4</v>
      </c>
    </row>
    <row r="269" spans="1:5" x14ac:dyDescent="0.25">
      <c r="A269" s="2" t="s">
        <v>175</v>
      </c>
      <c r="B269" s="2" t="s">
        <v>177</v>
      </c>
      <c r="C269" s="2">
        <v>1</v>
      </c>
      <c r="D269" s="2">
        <v>7250</v>
      </c>
      <c r="E269" s="2">
        <v>486.8</v>
      </c>
    </row>
    <row r="270" spans="1:5" x14ac:dyDescent="0.25">
      <c r="A270" s="2" t="s">
        <v>175</v>
      </c>
      <c r="B270" s="2" t="s">
        <v>42</v>
      </c>
      <c r="C270" s="2">
        <v>12</v>
      </c>
      <c r="D270" s="2">
        <v>7954</v>
      </c>
      <c r="E270" s="2">
        <v>534.1</v>
      </c>
    </row>
    <row r="271" spans="1:5" x14ac:dyDescent="0.25">
      <c r="A271" s="2" t="s">
        <v>175</v>
      </c>
      <c r="B271" s="2" t="s">
        <v>42</v>
      </c>
      <c r="C271" s="2">
        <v>10</v>
      </c>
      <c r="D271" s="2">
        <v>8000</v>
      </c>
      <c r="E271" s="2">
        <v>537.20000000000005</v>
      </c>
    </row>
    <row r="272" spans="1:5" x14ac:dyDescent="0.25">
      <c r="A272" s="2" t="s">
        <v>178</v>
      </c>
      <c r="B272" s="2" t="s">
        <v>42</v>
      </c>
      <c r="C272" s="2">
        <v>1</v>
      </c>
      <c r="D272" s="2">
        <v>5000</v>
      </c>
      <c r="E272" s="2">
        <v>335.7</v>
      </c>
    </row>
    <row r="273" spans="1:5" x14ac:dyDescent="0.25">
      <c r="A273" s="2" t="s">
        <v>178</v>
      </c>
      <c r="B273" s="2" t="s">
        <v>177</v>
      </c>
      <c r="C273" s="2">
        <v>1</v>
      </c>
      <c r="D273" s="2">
        <v>7250</v>
      </c>
      <c r="E273" s="2">
        <v>486.8</v>
      </c>
    </row>
    <row r="274" spans="1:5" x14ac:dyDescent="0.25">
      <c r="A274" s="2" t="s">
        <v>179</v>
      </c>
      <c r="B274" s="2" t="s">
        <v>42</v>
      </c>
      <c r="C274" s="2">
        <v>3</v>
      </c>
      <c r="D274" s="2">
        <v>8000</v>
      </c>
      <c r="E274" s="2">
        <v>593.29999999999995</v>
      </c>
    </row>
    <row r="275" spans="1:5" x14ac:dyDescent="0.25">
      <c r="A275" s="2" t="s">
        <v>180</v>
      </c>
      <c r="B275" s="2" t="s">
        <v>42</v>
      </c>
      <c r="C275" s="2">
        <v>1</v>
      </c>
      <c r="D275" s="2">
        <v>8000</v>
      </c>
      <c r="E275" s="2">
        <v>594.29999999999995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5"/>
  <sheetViews>
    <sheetView tabSelected="1" workbookViewId="0">
      <pane ySplit="1" topLeftCell="A148" activePane="bottomLeft" state="frozen"/>
      <selection pane="bottomLeft" activeCell="A163" sqref="A163"/>
    </sheetView>
  </sheetViews>
  <sheetFormatPr defaultRowHeight="15" x14ac:dyDescent="0.25"/>
  <cols>
    <col min="1" max="1" width="23.28515625" bestFit="1" customWidth="1"/>
    <col min="2" max="2" width="4.140625" bestFit="1" customWidth="1"/>
    <col min="3" max="3" width="12.28515625" bestFit="1" customWidth="1"/>
    <col min="4" max="4" width="3.140625" bestFit="1" customWidth="1"/>
    <col min="5" max="5" width="3.42578125" bestFit="1" customWidth="1"/>
    <col min="6" max="6" width="11" bestFit="1" customWidth="1"/>
    <col min="7" max="7" width="3.28515625" bestFit="1" customWidth="1"/>
    <col min="8" max="8" width="3.140625" bestFit="1" customWidth="1"/>
    <col min="9" max="9" width="10.140625" bestFit="1" customWidth="1"/>
    <col min="10" max="10" width="11" bestFit="1" customWidth="1"/>
    <col min="11" max="12" width="12" bestFit="1" customWidth="1"/>
    <col min="13" max="13" width="6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tr">
        <f>MTO_RAW!A2</f>
        <v>ISA65X65X6</v>
      </c>
      <c r="B2">
        <f>MTO_RAW!C2</f>
        <v>2</v>
      </c>
      <c r="C2">
        <f>MTO_RAW!D2</f>
        <v>760</v>
      </c>
      <c r="D2">
        <f t="shared" ref="D2:D65" si="0">IFERROR(VALUE(LEFT(A2,FIND("*",A2)-1)),0)</f>
        <v>0</v>
      </c>
      <c r="E2">
        <f t="shared" ref="E2:E65" si="1">IFERROR(VALUE(MID(A2,FIND("*",A2)+1,FIND("-",A2)-FIND("*",A2)-1)),0)</f>
        <v>0</v>
      </c>
      <c r="F2">
        <f t="shared" ref="F2:F65" si="2">IFERROR(VALUE(MID(A2,FIND("-",A2)+1,FIND("*",A2,FIND("-",A2))-FIND("-",A2)-1)),0)</f>
        <v>0</v>
      </c>
      <c r="G2">
        <f t="shared" ref="G2:G65" si="3">IFERROR(VALUE(MID(A2,FIND("*",A2,FIND("-",A2))+1,10)),0)</f>
        <v>0</v>
      </c>
      <c r="H2">
        <f t="shared" ref="H2:H65" si="4">IFERROR(VALUE(MID(A2,FIND("-",A2,FIND("-",A2)+1)+1,5)),D2)</f>
        <v>0</v>
      </c>
      <c r="I2">
        <f t="shared" ref="I2:I65" si="5">IFERROR(VALUE(RIGHT(A2,2)),E2)</f>
        <v>0</v>
      </c>
      <c r="J2">
        <f t="shared" ref="J2:J65" si="6">IF(E2=16,(D2/1000)*(C2/1000)*(16/1000)*7850*B2,0)+IF(I2=16,(H2/1000)*(C2/1000)*(16/1000)*7850*B2,0)+IF(G2=16,(F2/1000)*(C2/1000)*(16/1000)*7850*B2,0)</f>
        <v>0</v>
      </c>
      <c r="K2">
        <f t="shared" ref="K2:K65" si="7">IF(E2=20,(D2/1000)*(C2/1000)*(20/1000)*7850*B2,0)+IF(I2=20,(H2/1000)*(C2/1000)*(20/1000)*7850*B2,0)+IF(G2=20,(F2/1000)*(C2/1000)*(20/1000)*7850*B2,0)</f>
        <v>0</v>
      </c>
      <c r="L2">
        <f t="shared" ref="L2:L65" si="8">IF(E2=32,(D2/1000)*(C2/1000)*(32/1000)*7850*B2,0)+IF(I2=32,(H2/1000)*(C2/1000)*(32/1000)*7850*B2,0)+IF(G2=32,(F2/1000)*(C2/1000)*(32/1000)*7850*B2,0)</f>
        <v>0</v>
      </c>
      <c r="M2">
        <f t="shared" ref="M2:M65" si="9">IF(E2=40,(D2/1000)*(C2/1000)*(40/1000)*7850*B2,0)+IF(I2=40,(H2/1000)*(C2/1000)*(40/1000)*7850*B2,0)+IF(G2=40,(F2/1000)*(C2/1000)*(40/1000)*7850*B2,0)</f>
        <v>0</v>
      </c>
    </row>
    <row r="3" spans="1:13" x14ac:dyDescent="0.25">
      <c r="A3" t="str">
        <f>MTO_RAW!A3</f>
        <v>ISA75X75X8</v>
      </c>
      <c r="B3">
        <f>MTO_RAW!C3</f>
        <v>4</v>
      </c>
      <c r="C3">
        <f>MTO_RAW!D3</f>
        <v>514</v>
      </c>
      <c r="D3">
        <f t="shared" si="0"/>
        <v>0</v>
      </c>
      <c r="E3">
        <f t="shared" si="1"/>
        <v>0</v>
      </c>
      <c r="F3">
        <f t="shared" si="2"/>
        <v>0</v>
      </c>
      <c r="G3">
        <f t="shared" si="3"/>
        <v>0</v>
      </c>
      <c r="H3">
        <f t="shared" si="4"/>
        <v>0</v>
      </c>
      <c r="I3">
        <f t="shared" si="5"/>
        <v>0</v>
      </c>
      <c r="J3">
        <f t="shared" si="6"/>
        <v>0</v>
      </c>
      <c r="K3">
        <f t="shared" si="7"/>
        <v>0</v>
      </c>
      <c r="L3">
        <f t="shared" si="8"/>
        <v>0</v>
      </c>
      <c r="M3">
        <f t="shared" si="9"/>
        <v>0</v>
      </c>
    </row>
    <row r="4" spans="1:13" x14ac:dyDescent="0.25">
      <c r="A4" t="str">
        <f>MTO_RAW!A4</f>
        <v>ISA75X75X8</v>
      </c>
      <c r="B4">
        <f>MTO_RAW!C4</f>
        <v>8</v>
      </c>
      <c r="C4">
        <f>MTO_RAW!D4</f>
        <v>526</v>
      </c>
      <c r="D4">
        <f t="shared" si="0"/>
        <v>0</v>
      </c>
      <c r="E4">
        <f t="shared" si="1"/>
        <v>0</v>
      </c>
      <c r="F4">
        <f t="shared" si="2"/>
        <v>0</v>
      </c>
      <c r="G4">
        <f t="shared" si="3"/>
        <v>0</v>
      </c>
      <c r="H4">
        <f t="shared" si="4"/>
        <v>0</v>
      </c>
      <c r="I4">
        <f t="shared" si="5"/>
        <v>0</v>
      </c>
      <c r="J4">
        <f t="shared" si="6"/>
        <v>0</v>
      </c>
      <c r="K4">
        <f t="shared" si="7"/>
        <v>0</v>
      </c>
      <c r="L4">
        <f t="shared" si="8"/>
        <v>0</v>
      </c>
      <c r="M4">
        <f t="shared" si="9"/>
        <v>0</v>
      </c>
    </row>
    <row r="5" spans="1:13" x14ac:dyDescent="0.25">
      <c r="A5" t="str">
        <f>MTO_RAW!A5</f>
        <v>ISA75X75X8</v>
      </c>
      <c r="B5">
        <f>MTO_RAW!C5</f>
        <v>12</v>
      </c>
      <c r="C5">
        <f>MTO_RAW!D5</f>
        <v>555</v>
      </c>
      <c r="D5">
        <f t="shared" si="0"/>
        <v>0</v>
      </c>
      <c r="E5">
        <f t="shared" si="1"/>
        <v>0</v>
      </c>
      <c r="F5">
        <f t="shared" si="2"/>
        <v>0</v>
      </c>
      <c r="G5">
        <f t="shared" si="3"/>
        <v>0</v>
      </c>
      <c r="H5">
        <f t="shared" si="4"/>
        <v>0</v>
      </c>
      <c r="I5">
        <f t="shared" si="5"/>
        <v>0</v>
      </c>
      <c r="J5">
        <f t="shared" si="6"/>
        <v>0</v>
      </c>
      <c r="K5">
        <f t="shared" si="7"/>
        <v>0</v>
      </c>
      <c r="L5">
        <f t="shared" si="8"/>
        <v>0</v>
      </c>
      <c r="M5">
        <f t="shared" si="9"/>
        <v>0</v>
      </c>
    </row>
    <row r="6" spans="1:13" x14ac:dyDescent="0.25">
      <c r="A6" t="str">
        <f>MTO_RAW!A6</f>
        <v>ISA75X75X8</v>
      </c>
      <c r="B6">
        <f>MTO_RAW!C6</f>
        <v>4</v>
      </c>
      <c r="C6">
        <f>MTO_RAW!D6</f>
        <v>558</v>
      </c>
      <c r="D6">
        <f t="shared" si="0"/>
        <v>0</v>
      </c>
      <c r="E6">
        <f t="shared" si="1"/>
        <v>0</v>
      </c>
      <c r="F6">
        <f t="shared" si="2"/>
        <v>0</v>
      </c>
      <c r="G6">
        <f t="shared" si="3"/>
        <v>0</v>
      </c>
      <c r="H6">
        <f t="shared" si="4"/>
        <v>0</v>
      </c>
      <c r="I6">
        <f t="shared" si="5"/>
        <v>0</v>
      </c>
      <c r="J6">
        <f t="shared" si="6"/>
        <v>0</v>
      </c>
      <c r="K6">
        <f t="shared" si="7"/>
        <v>0</v>
      </c>
      <c r="L6">
        <f t="shared" si="8"/>
        <v>0</v>
      </c>
      <c r="M6">
        <f t="shared" si="9"/>
        <v>0</v>
      </c>
    </row>
    <row r="7" spans="1:13" x14ac:dyDescent="0.25">
      <c r="A7" t="str">
        <f>MTO_RAW!A7</f>
        <v>ISA75X75X8</v>
      </c>
      <c r="B7">
        <f>MTO_RAW!C7</f>
        <v>8</v>
      </c>
      <c r="C7">
        <f>MTO_RAW!D7</f>
        <v>660</v>
      </c>
      <c r="D7">
        <f t="shared" si="0"/>
        <v>0</v>
      </c>
      <c r="E7">
        <f t="shared" si="1"/>
        <v>0</v>
      </c>
      <c r="F7">
        <f t="shared" si="2"/>
        <v>0</v>
      </c>
      <c r="G7">
        <f t="shared" si="3"/>
        <v>0</v>
      </c>
      <c r="H7">
        <f t="shared" si="4"/>
        <v>0</v>
      </c>
      <c r="I7">
        <f t="shared" si="5"/>
        <v>0</v>
      </c>
      <c r="J7">
        <f t="shared" si="6"/>
        <v>0</v>
      </c>
      <c r="K7">
        <f t="shared" si="7"/>
        <v>0</v>
      </c>
      <c r="L7">
        <f t="shared" si="8"/>
        <v>0</v>
      </c>
      <c r="M7">
        <f t="shared" si="9"/>
        <v>0</v>
      </c>
    </row>
    <row r="8" spans="1:13" x14ac:dyDescent="0.25">
      <c r="A8" t="str">
        <f>MTO_RAW!A8</f>
        <v>ISA75X75X8</v>
      </c>
      <c r="B8">
        <f>MTO_RAW!C8</f>
        <v>24</v>
      </c>
      <c r="C8">
        <f>MTO_RAW!D8</f>
        <v>684</v>
      </c>
      <c r="D8">
        <f t="shared" si="0"/>
        <v>0</v>
      </c>
      <c r="E8">
        <f t="shared" si="1"/>
        <v>0</v>
      </c>
      <c r="F8">
        <f t="shared" si="2"/>
        <v>0</v>
      </c>
      <c r="G8">
        <f t="shared" si="3"/>
        <v>0</v>
      </c>
      <c r="H8">
        <f t="shared" si="4"/>
        <v>0</v>
      </c>
      <c r="I8">
        <f t="shared" si="5"/>
        <v>0</v>
      </c>
      <c r="J8">
        <f t="shared" si="6"/>
        <v>0</v>
      </c>
      <c r="K8">
        <f t="shared" si="7"/>
        <v>0</v>
      </c>
      <c r="L8">
        <f t="shared" si="8"/>
        <v>0</v>
      </c>
      <c r="M8">
        <f t="shared" si="9"/>
        <v>0</v>
      </c>
    </row>
    <row r="9" spans="1:13" x14ac:dyDescent="0.25">
      <c r="A9" t="str">
        <f>MTO_RAW!A9</f>
        <v>ISA90X90X8</v>
      </c>
      <c r="B9">
        <f>MTO_RAW!C9</f>
        <v>4</v>
      </c>
      <c r="C9">
        <f>MTO_RAW!D9</f>
        <v>1020</v>
      </c>
      <c r="D9">
        <f t="shared" si="0"/>
        <v>0</v>
      </c>
      <c r="E9">
        <f t="shared" si="1"/>
        <v>0</v>
      </c>
      <c r="F9">
        <f t="shared" si="2"/>
        <v>0</v>
      </c>
      <c r="G9">
        <f t="shared" si="3"/>
        <v>0</v>
      </c>
      <c r="H9">
        <f t="shared" si="4"/>
        <v>0</v>
      </c>
      <c r="I9">
        <f t="shared" si="5"/>
        <v>0</v>
      </c>
      <c r="J9">
        <f t="shared" si="6"/>
        <v>0</v>
      </c>
      <c r="K9">
        <f t="shared" si="7"/>
        <v>0</v>
      </c>
      <c r="L9">
        <f t="shared" si="8"/>
        <v>0</v>
      </c>
      <c r="M9">
        <f t="shared" si="9"/>
        <v>0</v>
      </c>
    </row>
    <row r="10" spans="1:13" x14ac:dyDescent="0.25">
      <c r="A10" t="str">
        <f>MTO_RAW!A10</f>
        <v>ISA90X90X8</v>
      </c>
      <c r="B10">
        <f>MTO_RAW!C10</f>
        <v>6</v>
      </c>
      <c r="C10">
        <f>MTO_RAW!D10</f>
        <v>1030</v>
      </c>
      <c r="D10">
        <f t="shared" si="0"/>
        <v>0</v>
      </c>
      <c r="E10">
        <f t="shared" si="1"/>
        <v>0</v>
      </c>
      <c r="F10">
        <f t="shared" si="2"/>
        <v>0</v>
      </c>
      <c r="G10">
        <f t="shared" si="3"/>
        <v>0</v>
      </c>
      <c r="H10">
        <f t="shared" si="4"/>
        <v>0</v>
      </c>
      <c r="I10">
        <f t="shared" si="5"/>
        <v>0</v>
      </c>
      <c r="J10">
        <f t="shared" si="6"/>
        <v>0</v>
      </c>
      <c r="K10">
        <f t="shared" si="7"/>
        <v>0</v>
      </c>
      <c r="L10">
        <f t="shared" si="8"/>
        <v>0</v>
      </c>
      <c r="M10">
        <f t="shared" si="9"/>
        <v>0</v>
      </c>
    </row>
    <row r="11" spans="1:13" x14ac:dyDescent="0.25">
      <c r="A11" t="str">
        <f>MTO_RAW!A11</f>
        <v>ISA90X90X8</v>
      </c>
      <c r="B11">
        <f>MTO_RAW!C11</f>
        <v>2</v>
      </c>
      <c r="C11">
        <f>MTO_RAW!D11</f>
        <v>1035</v>
      </c>
      <c r="D11">
        <f t="shared" si="0"/>
        <v>0</v>
      </c>
      <c r="E11">
        <f t="shared" si="1"/>
        <v>0</v>
      </c>
      <c r="F11">
        <f t="shared" si="2"/>
        <v>0</v>
      </c>
      <c r="G11">
        <f t="shared" si="3"/>
        <v>0</v>
      </c>
      <c r="H11">
        <f t="shared" si="4"/>
        <v>0</v>
      </c>
      <c r="I11">
        <f t="shared" si="5"/>
        <v>0</v>
      </c>
      <c r="J11">
        <f t="shared" si="6"/>
        <v>0</v>
      </c>
      <c r="K11">
        <f t="shared" si="7"/>
        <v>0</v>
      </c>
      <c r="L11">
        <f t="shared" si="8"/>
        <v>0</v>
      </c>
      <c r="M11">
        <f t="shared" si="9"/>
        <v>0</v>
      </c>
    </row>
    <row r="12" spans="1:13" x14ac:dyDescent="0.25">
      <c r="A12" t="str">
        <f>MTO_RAW!A12</f>
        <v>ISA90X90X8</v>
      </c>
      <c r="B12">
        <f>MTO_RAW!C12</f>
        <v>6</v>
      </c>
      <c r="C12">
        <f>MTO_RAW!D12</f>
        <v>1046</v>
      </c>
      <c r="D12">
        <f t="shared" si="0"/>
        <v>0</v>
      </c>
      <c r="E12">
        <f t="shared" si="1"/>
        <v>0</v>
      </c>
      <c r="F12">
        <f t="shared" si="2"/>
        <v>0</v>
      </c>
      <c r="G12">
        <f t="shared" si="3"/>
        <v>0</v>
      </c>
      <c r="H12">
        <f t="shared" si="4"/>
        <v>0</v>
      </c>
      <c r="I12">
        <f t="shared" si="5"/>
        <v>0</v>
      </c>
      <c r="J12">
        <f t="shared" si="6"/>
        <v>0</v>
      </c>
      <c r="K12">
        <f t="shared" si="7"/>
        <v>0</v>
      </c>
      <c r="L12">
        <f t="shared" si="8"/>
        <v>0</v>
      </c>
      <c r="M12">
        <f t="shared" si="9"/>
        <v>0</v>
      </c>
    </row>
    <row r="13" spans="1:13" x14ac:dyDescent="0.25">
      <c r="A13" t="str">
        <f>MTO_RAW!A13</f>
        <v>ISA90X90X8</v>
      </c>
      <c r="B13">
        <f>MTO_RAW!C13</f>
        <v>32</v>
      </c>
      <c r="C13">
        <f>MTO_RAW!D13</f>
        <v>1100</v>
      </c>
      <c r="D13">
        <f t="shared" si="0"/>
        <v>0</v>
      </c>
      <c r="E13">
        <f t="shared" si="1"/>
        <v>0</v>
      </c>
      <c r="F13">
        <f t="shared" si="2"/>
        <v>0</v>
      </c>
      <c r="G13">
        <f t="shared" si="3"/>
        <v>0</v>
      </c>
      <c r="H13">
        <f t="shared" si="4"/>
        <v>0</v>
      </c>
      <c r="I13">
        <f t="shared" si="5"/>
        <v>0</v>
      </c>
      <c r="J13">
        <f t="shared" si="6"/>
        <v>0</v>
      </c>
      <c r="K13">
        <f t="shared" si="7"/>
        <v>0</v>
      </c>
      <c r="L13">
        <f t="shared" si="8"/>
        <v>0</v>
      </c>
      <c r="M13">
        <f t="shared" si="9"/>
        <v>0</v>
      </c>
    </row>
    <row r="14" spans="1:13" x14ac:dyDescent="0.25">
      <c r="A14" t="str">
        <f>MTO_RAW!A14</f>
        <v>ISA90X90X8</v>
      </c>
      <c r="B14">
        <f>MTO_RAW!C14</f>
        <v>2</v>
      </c>
      <c r="C14">
        <f>MTO_RAW!D14</f>
        <v>1110</v>
      </c>
      <c r="D14">
        <f t="shared" si="0"/>
        <v>0</v>
      </c>
      <c r="E14">
        <f t="shared" si="1"/>
        <v>0</v>
      </c>
      <c r="F14">
        <f t="shared" si="2"/>
        <v>0</v>
      </c>
      <c r="G14">
        <f t="shared" si="3"/>
        <v>0</v>
      </c>
      <c r="H14">
        <f t="shared" si="4"/>
        <v>0</v>
      </c>
      <c r="I14">
        <f t="shared" si="5"/>
        <v>0</v>
      </c>
      <c r="J14">
        <f t="shared" si="6"/>
        <v>0</v>
      </c>
      <c r="K14">
        <f t="shared" si="7"/>
        <v>0</v>
      </c>
      <c r="L14">
        <f t="shared" si="8"/>
        <v>0</v>
      </c>
      <c r="M14">
        <f t="shared" si="9"/>
        <v>0</v>
      </c>
    </row>
    <row r="15" spans="1:13" x14ac:dyDescent="0.25">
      <c r="A15" t="str">
        <f>MTO_RAW!A15</f>
        <v>ISA90X90X8</v>
      </c>
      <c r="B15">
        <f>MTO_RAW!C15</f>
        <v>6</v>
      </c>
      <c r="C15">
        <f>MTO_RAW!D15</f>
        <v>1120</v>
      </c>
      <c r="D15">
        <f t="shared" si="0"/>
        <v>0</v>
      </c>
      <c r="E15">
        <f t="shared" si="1"/>
        <v>0</v>
      </c>
      <c r="F15">
        <f t="shared" si="2"/>
        <v>0</v>
      </c>
      <c r="G15">
        <f t="shared" si="3"/>
        <v>0</v>
      </c>
      <c r="H15">
        <f t="shared" si="4"/>
        <v>0</v>
      </c>
      <c r="I15">
        <f t="shared" si="5"/>
        <v>0</v>
      </c>
      <c r="J15">
        <f t="shared" si="6"/>
        <v>0</v>
      </c>
      <c r="K15">
        <f t="shared" si="7"/>
        <v>0</v>
      </c>
      <c r="L15">
        <f t="shared" si="8"/>
        <v>0</v>
      </c>
      <c r="M15">
        <f t="shared" si="9"/>
        <v>0</v>
      </c>
    </row>
    <row r="16" spans="1:13" x14ac:dyDescent="0.25">
      <c r="A16" t="str">
        <f>MTO_RAW!A16</f>
        <v>ISA90X90X8</v>
      </c>
      <c r="B16">
        <f>MTO_RAW!C16</f>
        <v>74</v>
      </c>
      <c r="C16">
        <f>MTO_RAW!D16</f>
        <v>1130</v>
      </c>
      <c r="D16">
        <f t="shared" si="0"/>
        <v>0</v>
      </c>
      <c r="E16">
        <f t="shared" si="1"/>
        <v>0</v>
      </c>
      <c r="F16">
        <f t="shared" si="2"/>
        <v>0</v>
      </c>
      <c r="G16">
        <f t="shared" si="3"/>
        <v>0</v>
      </c>
      <c r="H16">
        <f t="shared" si="4"/>
        <v>0</v>
      </c>
      <c r="I16">
        <f t="shared" si="5"/>
        <v>0</v>
      </c>
      <c r="J16">
        <f t="shared" si="6"/>
        <v>0</v>
      </c>
      <c r="K16">
        <f t="shared" si="7"/>
        <v>0</v>
      </c>
      <c r="L16">
        <f t="shared" si="8"/>
        <v>0</v>
      </c>
      <c r="M16">
        <f t="shared" si="9"/>
        <v>0</v>
      </c>
    </row>
    <row r="17" spans="1:13" x14ac:dyDescent="0.25">
      <c r="A17" t="str">
        <f>MTO_RAW!A17</f>
        <v>ISA90X90X8</v>
      </c>
      <c r="B17">
        <f>MTO_RAW!C17</f>
        <v>2</v>
      </c>
      <c r="C17">
        <f>MTO_RAW!D17</f>
        <v>1171</v>
      </c>
      <c r="D17">
        <f t="shared" si="0"/>
        <v>0</v>
      </c>
      <c r="E17">
        <f t="shared" si="1"/>
        <v>0</v>
      </c>
      <c r="F17">
        <f t="shared" si="2"/>
        <v>0</v>
      </c>
      <c r="G17">
        <f t="shared" si="3"/>
        <v>0</v>
      </c>
      <c r="H17">
        <f t="shared" si="4"/>
        <v>0</v>
      </c>
      <c r="I17">
        <f t="shared" si="5"/>
        <v>0</v>
      </c>
      <c r="J17">
        <f t="shared" si="6"/>
        <v>0</v>
      </c>
      <c r="K17">
        <f t="shared" si="7"/>
        <v>0</v>
      </c>
      <c r="L17">
        <f t="shared" si="8"/>
        <v>0</v>
      </c>
      <c r="M17">
        <f t="shared" si="9"/>
        <v>0</v>
      </c>
    </row>
    <row r="18" spans="1:13" x14ac:dyDescent="0.25">
      <c r="A18" t="str">
        <f>MTO_RAW!A18</f>
        <v>ISA90X90X8</v>
      </c>
      <c r="B18">
        <f>MTO_RAW!C18</f>
        <v>8</v>
      </c>
      <c r="C18">
        <f>MTO_RAW!D18</f>
        <v>1200</v>
      </c>
      <c r="D18">
        <f t="shared" si="0"/>
        <v>0</v>
      </c>
      <c r="E18">
        <f t="shared" si="1"/>
        <v>0</v>
      </c>
      <c r="F18">
        <f t="shared" si="2"/>
        <v>0</v>
      </c>
      <c r="G18">
        <f t="shared" si="3"/>
        <v>0</v>
      </c>
      <c r="H18">
        <f t="shared" si="4"/>
        <v>0</v>
      </c>
      <c r="I18">
        <f t="shared" si="5"/>
        <v>0</v>
      </c>
      <c r="J18">
        <f t="shared" si="6"/>
        <v>0</v>
      </c>
      <c r="K18">
        <f t="shared" si="7"/>
        <v>0</v>
      </c>
      <c r="L18">
        <f t="shared" si="8"/>
        <v>0</v>
      </c>
      <c r="M18">
        <f t="shared" si="9"/>
        <v>0</v>
      </c>
    </row>
    <row r="19" spans="1:13" x14ac:dyDescent="0.25">
      <c r="A19" t="str">
        <f>MTO_RAW!A19</f>
        <v>ISA90X90X8</v>
      </c>
      <c r="B19">
        <f>MTO_RAW!C19</f>
        <v>6</v>
      </c>
      <c r="C19">
        <f>MTO_RAW!D19</f>
        <v>1201</v>
      </c>
      <c r="D19">
        <f t="shared" si="0"/>
        <v>0</v>
      </c>
      <c r="E19">
        <f t="shared" si="1"/>
        <v>0</v>
      </c>
      <c r="F19">
        <f t="shared" si="2"/>
        <v>0</v>
      </c>
      <c r="G19">
        <f t="shared" si="3"/>
        <v>0</v>
      </c>
      <c r="H19">
        <f t="shared" si="4"/>
        <v>0</v>
      </c>
      <c r="I19">
        <f t="shared" si="5"/>
        <v>0</v>
      </c>
      <c r="J19">
        <f t="shared" si="6"/>
        <v>0</v>
      </c>
      <c r="K19">
        <f t="shared" si="7"/>
        <v>0</v>
      </c>
      <c r="L19">
        <f t="shared" si="8"/>
        <v>0</v>
      </c>
      <c r="M19">
        <f t="shared" si="9"/>
        <v>0</v>
      </c>
    </row>
    <row r="20" spans="1:13" x14ac:dyDescent="0.25">
      <c r="A20" t="str">
        <f>MTO_RAW!A20</f>
        <v>ISA90X90X8</v>
      </c>
      <c r="B20">
        <f>MTO_RAW!C20</f>
        <v>4</v>
      </c>
      <c r="C20">
        <f>MTO_RAW!D20</f>
        <v>1210</v>
      </c>
      <c r="D20">
        <f t="shared" si="0"/>
        <v>0</v>
      </c>
      <c r="E20">
        <f t="shared" si="1"/>
        <v>0</v>
      </c>
      <c r="F20">
        <f t="shared" si="2"/>
        <v>0</v>
      </c>
      <c r="G20">
        <f t="shared" si="3"/>
        <v>0</v>
      </c>
      <c r="H20">
        <f t="shared" si="4"/>
        <v>0</v>
      </c>
      <c r="I20">
        <f t="shared" si="5"/>
        <v>0</v>
      </c>
      <c r="J20">
        <f t="shared" si="6"/>
        <v>0</v>
      </c>
      <c r="K20">
        <f t="shared" si="7"/>
        <v>0</v>
      </c>
      <c r="L20">
        <f t="shared" si="8"/>
        <v>0</v>
      </c>
      <c r="M20">
        <f t="shared" si="9"/>
        <v>0</v>
      </c>
    </row>
    <row r="21" spans="1:13" x14ac:dyDescent="0.25">
      <c r="A21" t="str">
        <f>MTO_RAW!A21</f>
        <v>ISA90X90X8</v>
      </c>
      <c r="B21">
        <f>MTO_RAW!C21</f>
        <v>8</v>
      </c>
      <c r="C21">
        <f>MTO_RAW!D21</f>
        <v>1221</v>
      </c>
      <c r="D21">
        <f t="shared" si="0"/>
        <v>0</v>
      </c>
      <c r="E21">
        <f t="shared" si="1"/>
        <v>0</v>
      </c>
      <c r="F21">
        <f t="shared" si="2"/>
        <v>0</v>
      </c>
      <c r="G21">
        <f t="shared" si="3"/>
        <v>0</v>
      </c>
      <c r="H21">
        <f t="shared" si="4"/>
        <v>0</v>
      </c>
      <c r="I21">
        <f t="shared" si="5"/>
        <v>0</v>
      </c>
      <c r="J21">
        <f t="shared" si="6"/>
        <v>0</v>
      </c>
      <c r="K21">
        <f t="shared" si="7"/>
        <v>0</v>
      </c>
      <c r="L21">
        <f t="shared" si="8"/>
        <v>0</v>
      </c>
      <c r="M21">
        <f t="shared" si="9"/>
        <v>0</v>
      </c>
    </row>
    <row r="22" spans="1:13" x14ac:dyDescent="0.25">
      <c r="A22" t="str">
        <f>MTO_RAW!A22</f>
        <v>ISA90X90X8</v>
      </c>
      <c r="B22">
        <f>MTO_RAW!C22</f>
        <v>4</v>
      </c>
      <c r="C22">
        <f>MTO_RAW!D22</f>
        <v>1264</v>
      </c>
      <c r="D22">
        <f t="shared" si="0"/>
        <v>0</v>
      </c>
      <c r="E22">
        <f t="shared" si="1"/>
        <v>0</v>
      </c>
      <c r="F22">
        <f t="shared" si="2"/>
        <v>0</v>
      </c>
      <c r="G22">
        <f t="shared" si="3"/>
        <v>0</v>
      </c>
      <c r="H22">
        <f t="shared" si="4"/>
        <v>0</v>
      </c>
      <c r="I22">
        <f t="shared" si="5"/>
        <v>0</v>
      </c>
      <c r="J22">
        <f t="shared" si="6"/>
        <v>0</v>
      </c>
      <c r="K22">
        <f t="shared" si="7"/>
        <v>0</v>
      </c>
      <c r="L22">
        <f t="shared" si="8"/>
        <v>0</v>
      </c>
      <c r="M22">
        <f t="shared" si="9"/>
        <v>0</v>
      </c>
    </row>
    <row r="23" spans="1:13" x14ac:dyDescent="0.25">
      <c r="A23" t="str">
        <f>MTO_RAW!A23</f>
        <v>ISA90X90X8</v>
      </c>
      <c r="B23">
        <f>MTO_RAW!C23</f>
        <v>12</v>
      </c>
      <c r="C23">
        <f>MTO_RAW!D23</f>
        <v>1300</v>
      </c>
      <c r="D23">
        <f t="shared" si="0"/>
        <v>0</v>
      </c>
      <c r="E23">
        <f t="shared" si="1"/>
        <v>0</v>
      </c>
      <c r="F23">
        <f t="shared" si="2"/>
        <v>0</v>
      </c>
      <c r="G23">
        <f t="shared" si="3"/>
        <v>0</v>
      </c>
      <c r="H23">
        <f t="shared" si="4"/>
        <v>0</v>
      </c>
      <c r="I23">
        <f t="shared" si="5"/>
        <v>0</v>
      </c>
      <c r="J23">
        <f t="shared" si="6"/>
        <v>0</v>
      </c>
      <c r="K23">
        <f t="shared" si="7"/>
        <v>0</v>
      </c>
      <c r="L23">
        <f t="shared" si="8"/>
        <v>0</v>
      </c>
      <c r="M23">
        <f t="shared" si="9"/>
        <v>0</v>
      </c>
    </row>
    <row r="24" spans="1:13" x14ac:dyDescent="0.25">
      <c r="A24" t="str">
        <f>MTO_RAW!A24</f>
        <v>ISA90X90X8</v>
      </c>
      <c r="B24">
        <f>MTO_RAW!C24</f>
        <v>32</v>
      </c>
      <c r="C24">
        <f>MTO_RAW!D24</f>
        <v>1307</v>
      </c>
      <c r="D24">
        <f t="shared" si="0"/>
        <v>0</v>
      </c>
      <c r="E24">
        <f t="shared" si="1"/>
        <v>0</v>
      </c>
      <c r="F24">
        <f t="shared" si="2"/>
        <v>0</v>
      </c>
      <c r="G24">
        <f t="shared" si="3"/>
        <v>0</v>
      </c>
      <c r="H24">
        <f t="shared" si="4"/>
        <v>0</v>
      </c>
      <c r="I24">
        <f t="shared" si="5"/>
        <v>0</v>
      </c>
      <c r="J24">
        <f t="shared" si="6"/>
        <v>0</v>
      </c>
      <c r="K24">
        <f t="shared" si="7"/>
        <v>0</v>
      </c>
      <c r="L24">
        <f t="shared" si="8"/>
        <v>0</v>
      </c>
      <c r="M24">
        <f t="shared" si="9"/>
        <v>0</v>
      </c>
    </row>
    <row r="25" spans="1:13" x14ac:dyDescent="0.25">
      <c r="A25" t="str">
        <f>MTO_RAW!A25</f>
        <v>ISA90X90X8</v>
      </c>
      <c r="B25">
        <f>MTO_RAW!C25</f>
        <v>17</v>
      </c>
      <c r="C25">
        <f>MTO_RAW!D25</f>
        <v>1342</v>
      </c>
      <c r="D25">
        <f t="shared" si="0"/>
        <v>0</v>
      </c>
      <c r="E25">
        <f t="shared" si="1"/>
        <v>0</v>
      </c>
      <c r="F25">
        <f t="shared" si="2"/>
        <v>0</v>
      </c>
      <c r="G25">
        <f t="shared" si="3"/>
        <v>0</v>
      </c>
      <c r="H25">
        <f t="shared" si="4"/>
        <v>0</v>
      </c>
      <c r="I25">
        <f t="shared" si="5"/>
        <v>0</v>
      </c>
      <c r="J25">
        <f t="shared" si="6"/>
        <v>0</v>
      </c>
      <c r="K25">
        <f t="shared" si="7"/>
        <v>0</v>
      </c>
      <c r="L25">
        <f t="shared" si="8"/>
        <v>0</v>
      </c>
      <c r="M25">
        <f t="shared" si="9"/>
        <v>0</v>
      </c>
    </row>
    <row r="26" spans="1:13" x14ac:dyDescent="0.25">
      <c r="A26" t="str">
        <f>MTO_RAW!A26</f>
        <v>ISA90X90X8</v>
      </c>
      <c r="B26">
        <f>MTO_RAW!C26</f>
        <v>8</v>
      </c>
      <c r="C26">
        <f>MTO_RAW!D26</f>
        <v>1400</v>
      </c>
      <c r="D26">
        <f t="shared" si="0"/>
        <v>0</v>
      </c>
      <c r="E26">
        <f t="shared" si="1"/>
        <v>0</v>
      </c>
      <c r="F26">
        <f t="shared" si="2"/>
        <v>0</v>
      </c>
      <c r="G26">
        <f t="shared" si="3"/>
        <v>0</v>
      </c>
      <c r="H26">
        <f t="shared" si="4"/>
        <v>0</v>
      </c>
      <c r="I26">
        <f t="shared" si="5"/>
        <v>0</v>
      </c>
      <c r="J26">
        <f t="shared" si="6"/>
        <v>0</v>
      </c>
      <c r="K26">
        <f t="shared" si="7"/>
        <v>0</v>
      </c>
      <c r="L26">
        <f t="shared" si="8"/>
        <v>0</v>
      </c>
      <c r="M26">
        <f t="shared" si="9"/>
        <v>0</v>
      </c>
    </row>
    <row r="27" spans="1:13" x14ac:dyDescent="0.25">
      <c r="A27" t="str">
        <f>MTO_RAW!A27</f>
        <v>ISA90X90X8</v>
      </c>
      <c r="B27">
        <f>MTO_RAW!C27</f>
        <v>16</v>
      </c>
      <c r="C27">
        <f>MTO_RAW!D27</f>
        <v>1450</v>
      </c>
      <c r="D27">
        <f t="shared" si="0"/>
        <v>0</v>
      </c>
      <c r="E27">
        <f t="shared" si="1"/>
        <v>0</v>
      </c>
      <c r="F27">
        <f t="shared" si="2"/>
        <v>0</v>
      </c>
      <c r="G27">
        <f t="shared" si="3"/>
        <v>0</v>
      </c>
      <c r="H27">
        <f t="shared" si="4"/>
        <v>0</v>
      </c>
      <c r="I27">
        <f t="shared" si="5"/>
        <v>0</v>
      </c>
      <c r="J27">
        <f t="shared" si="6"/>
        <v>0</v>
      </c>
      <c r="K27">
        <f t="shared" si="7"/>
        <v>0</v>
      </c>
      <c r="L27">
        <f t="shared" si="8"/>
        <v>0</v>
      </c>
      <c r="M27">
        <f t="shared" si="9"/>
        <v>0</v>
      </c>
    </row>
    <row r="28" spans="1:13" x14ac:dyDescent="0.25">
      <c r="A28" t="str">
        <f>MTO_RAW!A28</f>
        <v>ISA90X90X8</v>
      </c>
      <c r="B28">
        <f>MTO_RAW!C28</f>
        <v>24</v>
      </c>
      <c r="C28">
        <f>MTO_RAW!D28</f>
        <v>1500</v>
      </c>
      <c r="D28">
        <f t="shared" si="0"/>
        <v>0</v>
      </c>
      <c r="E28">
        <f t="shared" si="1"/>
        <v>0</v>
      </c>
      <c r="F28">
        <f t="shared" si="2"/>
        <v>0</v>
      </c>
      <c r="G28">
        <f t="shared" si="3"/>
        <v>0</v>
      </c>
      <c r="H28">
        <f t="shared" si="4"/>
        <v>0</v>
      </c>
      <c r="I28">
        <f t="shared" si="5"/>
        <v>0</v>
      </c>
      <c r="J28">
        <f t="shared" si="6"/>
        <v>0</v>
      </c>
      <c r="K28">
        <f t="shared" si="7"/>
        <v>0</v>
      </c>
      <c r="L28">
        <f t="shared" si="8"/>
        <v>0</v>
      </c>
      <c r="M28">
        <f t="shared" si="9"/>
        <v>0</v>
      </c>
    </row>
    <row r="29" spans="1:13" x14ac:dyDescent="0.25">
      <c r="A29" t="str">
        <f>MTO_RAW!A29</f>
        <v>ISA90X90X8</v>
      </c>
      <c r="B29">
        <f>MTO_RAW!C29</f>
        <v>4</v>
      </c>
      <c r="C29">
        <f>MTO_RAW!D29</f>
        <v>1562</v>
      </c>
      <c r="D29">
        <f t="shared" si="0"/>
        <v>0</v>
      </c>
      <c r="E29">
        <f t="shared" si="1"/>
        <v>0</v>
      </c>
      <c r="F29">
        <f t="shared" si="2"/>
        <v>0</v>
      </c>
      <c r="G29">
        <f t="shared" si="3"/>
        <v>0</v>
      </c>
      <c r="H29">
        <f t="shared" si="4"/>
        <v>0</v>
      </c>
      <c r="I29">
        <f t="shared" si="5"/>
        <v>0</v>
      </c>
      <c r="J29">
        <f t="shared" si="6"/>
        <v>0</v>
      </c>
      <c r="K29">
        <f t="shared" si="7"/>
        <v>0</v>
      </c>
      <c r="L29">
        <f t="shared" si="8"/>
        <v>0</v>
      </c>
      <c r="M29">
        <f t="shared" si="9"/>
        <v>0</v>
      </c>
    </row>
    <row r="30" spans="1:13" x14ac:dyDescent="0.25">
      <c r="A30" t="str">
        <f>MTO_RAW!A30</f>
        <v>ISA90X90X8</v>
      </c>
      <c r="B30">
        <f>MTO_RAW!C30</f>
        <v>4</v>
      </c>
      <c r="C30">
        <f>MTO_RAW!D30</f>
        <v>1570</v>
      </c>
      <c r="D30">
        <f t="shared" si="0"/>
        <v>0</v>
      </c>
      <c r="E30">
        <f t="shared" si="1"/>
        <v>0</v>
      </c>
      <c r="F30">
        <f t="shared" si="2"/>
        <v>0</v>
      </c>
      <c r="G30">
        <f t="shared" si="3"/>
        <v>0</v>
      </c>
      <c r="H30">
        <f t="shared" si="4"/>
        <v>0</v>
      </c>
      <c r="I30">
        <f t="shared" si="5"/>
        <v>0</v>
      </c>
      <c r="J30">
        <f t="shared" si="6"/>
        <v>0</v>
      </c>
      <c r="K30">
        <f t="shared" si="7"/>
        <v>0</v>
      </c>
      <c r="L30">
        <f t="shared" si="8"/>
        <v>0</v>
      </c>
      <c r="M30">
        <f t="shared" si="9"/>
        <v>0</v>
      </c>
    </row>
    <row r="31" spans="1:13" x14ac:dyDescent="0.25">
      <c r="A31" t="str">
        <f>MTO_RAW!A31</f>
        <v>ISA90X90X8</v>
      </c>
      <c r="B31">
        <f>MTO_RAW!C31</f>
        <v>4</v>
      </c>
      <c r="C31">
        <f>MTO_RAW!D31</f>
        <v>1649</v>
      </c>
      <c r="D31">
        <f t="shared" si="0"/>
        <v>0</v>
      </c>
      <c r="E31">
        <f t="shared" si="1"/>
        <v>0</v>
      </c>
      <c r="F31">
        <f t="shared" si="2"/>
        <v>0</v>
      </c>
      <c r="G31">
        <f t="shared" si="3"/>
        <v>0</v>
      </c>
      <c r="H31">
        <f t="shared" si="4"/>
        <v>0</v>
      </c>
      <c r="I31">
        <f t="shared" si="5"/>
        <v>0</v>
      </c>
      <c r="J31">
        <f t="shared" si="6"/>
        <v>0</v>
      </c>
      <c r="K31">
        <f t="shared" si="7"/>
        <v>0</v>
      </c>
      <c r="L31">
        <f t="shared" si="8"/>
        <v>0</v>
      </c>
      <c r="M31">
        <f t="shared" si="9"/>
        <v>0</v>
      </c>
    </row>
    <row r="32" spans="1:13" x14ac:dyDescent="0.25">
      <c r="A32" t="str">
        <f>MTO_RAW!A32</f>
        <v>ISA90X90X8</v>
      </c>
      <c r="B32">
        <f>MTO_RAW!C32</f>
        <v>16</v>
      </c>
      <c r="C32">
        <f>MTO_RAW!D32</f>
        <v>1703</v>
      </c>
      <c r="D32">
        <f t="shared" si="0"/>
        <v>0</v>
      </c>
      <c r="E32">
        <f t="shared" si="1"/>
        <v>0</v>
      </c>
      <c r="F32">
        <f t="shared" si="2"/>
        <v>0</v>
      </c>
      <c r="G32">
        <f t="shared" si="3"/>
        <v>0</v>
      </c>
      <c r="H32">
        <f t="shared" si="4"/>
        <v>0</v>
      </c>
      <c r="I32">
        <f t="shared" si="5"/>
        <v>0</v>
      </c>
      <c r="J32">
        <f t="shared" si="6"/>
        <v>0</v>
      </c>
      <c r="K32">
        <f t="shared" si="7"/>
        <v>0</v>
      </c>
      <c r="L32">
        <f t="shared" si="8"/>
        <v>0</v>
      </c>
      <c r="M32">
        <f t="shared" si="9"/>
        <v>0</v>
      </c>
    </row>
    <row r="33" spans="1:13" x14ac:dyDescent="0.25">
      <c r="A33" t="str">
        <f>MTO_RAW!A33</f>
        <v>ISA90X90X8</v>
      </c>
      <c r="B33">
        <f>MTO_RAW!C33</f>
        <v>8</v>
      </c>
      <c r="C33">
        <f>MTO_RAW!D33</f>
        <v>1716</v>
      </c>
      <c r="D33">
        <f t="shared" si="0"/>
        <v>0</v>
      </c>
      <c r="E33">
        <f t="shared" si="1"/>
        <v>0</v>
      </c>
      <c r="F33">
        <f t="shared" si="2"/>
        <v>0</v>
      </c>
      <c r="G33">
        <f t="shared" si="3"/>
        <v>0</v>
      </c>
      <c r="H33">
        <f t="shared" si="4"/>
        <v>0</v>
      </c>
      <c r="I33">
        <f t="shared" si="5"/>
        <v>0</v>
      </c>
      <c r="J33">
        <f t="shared" si="6"/>
        <v>0</v>
      </c>
      <c r="K33">
        <f t="shared" si="7"/>
        <v>0</v>
      </c>
      <c r="L33">
        <f t="shared" si="8"/>
        <v>0</v>
      </c>
      <c r="M33">
        <f t="shared" si="9"/>
        <v>0</v>
      </c>
    </row>
    <row r="34" spans="1:13" x14ac:dyDescent="0.25">
      <c r="A34" t="str">
        <f>MTO_RAW!A34</f>
        <v>ISA90X90X8</v>
      </c>
      <c r="B34">
        <f>MTO_RAW!C34</f>
        <v>8</v>
      </c>
      <c r="C34">
        <f>MTO_RAW!D34</f>
        <v>1780</v>
      </c>
      <c r="D34">
        <f t="shared" si="0"/>
        <v>0</v>
      </c>
      <c r="E34">
        <f t="shared" si="1"/>
        <v>0</v>
      </c>
      <c r="F34">
        <f t="shared" si="2"/>
        <v>0</v>
      </c>
      <c r="G34">
        <f t="shared" si="3"/>
        <v>0</v>
      </c>
      <c r="H34">
        <f t="shared" si="4"/>
        <v>0</v>
      </c>
      <c r="I34">
        <f t="shared" si="5"/>
        <v>0</v>
      </c>
      <c r="J34">
        <f t="shared" si="6"/>
        <v>0</v>
      </c>
      <c r="K34">
        <f t="shared" si="7"/>
        <v>0</v>
      </c>
      <c r="L34">
        <f t="shared" si="8"/>
        <v>0</v>
      </c>
      <c r="M34">
        <f t="shared" si="9"/>
        <v>0</v>
      </c>
    </row>
    <row r="35" spans="1:13" x14ac:dyDescent="0.25">
      <c r="A35" t="str">
        <f>MTO_RAW!A35</f>
        <v>ISA90X90X8</v>
      </c>
      <c r="B35">
        <f>MTO_RAW!C35</f>
        <v>4</v>
      </c>
      <c r="C35">
        <f>MTO_RAW!D35</f>
        <v>1785</v>
      </c>
      <c r="D35">
        <f t="shared" si="0"/>
        <v>0</v>
      </c>
      <c r="E35">
        <f t="shared" si="1"/>
        <v>0</v>
      </c>
      <c r="F35">
        <f t="shared" si="2"/>
        <v>0</v>
      </c>
      <c r="G35">
        <f t="shared" si="3"/>
        <v>0</v>
      </c>
      <c r="H35">
        <f t="shared" si="4"/>
        <v>0</v>
      </c>
      <c r="I35">
        <f t="shared" si="5"/>
        <v>0</v>
      </c>
      <c r="J35">
        <f t="shared" si="6"/>
        <v>0</v>
      </c>
      <c r="K35">
        <f t="shared" si="7"/>
        <v>0</v>
      </c>
      <c r="L35">
        <f t="shared" si="8"/>
        <v>0</v>
      </c>
      <c r="M35">
        <f t="shared" si="9"/>
        <v>0</v>
      </c>
    </row>
    <row r="36" spans="1:13" x14ac:dyDescent="0.25">
      <c r="A36" t="str">
        <f>MTO_RAW!A36</f>
        <v>ISA90X90X8</v>
      </c>
      <c r="B36">
        <f>MTO_RAW!C36</f>
        <v>8</v>
      </c>
      <c r="C36">
        <f>MTO_RAW!D36</f>
        <v>1793</v>
      </c>
      <c r="D36">
        <f t="shared" si="0"/>
        <v>0</v>
      </c>
      <c r="E36">
        <f t="shared" si="1"/>
        <v>0</v>
      </c>
      <c r="F36">
        <f t="shared" si="2"/>
        <v>0</v>
      </c>
      <c r="G36">
        <f t="shared" si="3"/>
        <v>0</v>
      </c>
      <c r="H36">
        <f t="shared" si="4"/>
        <v>0</v>
      </c>
      <c r="I36">
        <f t="shared" si="5"/>
        <v>0</v>
      </c>
      <c r="J36">
        <f t="shared" si="6"/>
        <v>0</v>
      </c>
      <c r="K36">
        <f t="shared" si="7"/>
        <v>0</v>
      </c>
      <c r="L36">
        <f t="shared" si="8"/>
        <v>0</v>
      </c>
      <c r="M36">
        <f t="shared" si="9"/>
        <v>0</v>
      </c>
    </row>
    <row r="37" spans="1:13" x14ac:dyDescent="0.25">
      <c r="A37" t="str">
        <f>MTO_RAW!A37</f>
        <v>ISA90X90X8</v>
      </c>
      <c r="B37">
        <f>MTO_RAW!C37</f>
        <v>32</v>
      </c>
      <c r="C37">
        <f>MTO_RAW!D37</f>
        <v>2000</v>
      </c>
      <c r="D37">
        <f t="shared" si="0"/>
        <v>0</v>
      </c>
      <c r="E37">
        <f t="shared" si="1"/>
        <v>0</v>
      </c>
      <c r="F37">
        <f t="shared" si="2"/>
        <v>0</v>
      </c>
      <c r="G37">
        <f t="shared" si="3"/>
        <v>0</v>
      </c>
      <c r="H37">
        <f t="shared" si="4"/>
        <v>0</v>
      </c>
      <c r="I37">
        <f t="shared" si="5"/>
        <v>0</v>
      </c>
      <c r="J37">
        <f t="shared" si="6"/>
        <v>0</v>
      </c>
      <c r="K37">
        <f t="shared" si="7"/>
        <v>0</v>
      </c>
      <c r="L37">
        <f t="shared" si="8"/>
        <v>0</v>
      </c>
      <c r="M37">
        <f t="shared" si="9"/>
        <v>0</v>
      </c>
    </row>
    <row r="38" spans="1:13" x14ac:dyDescent="0.25">
      <c r="A38" t="str">
        <f>MTO_RAW!A38</f>
        <v>ISA90X90X8</v>
      </c>
      <c r="B38">
        <f>MTO_RAW!C38</f>
        <v>12</v>
      </c>
      <c r="C38">
        <f>MTO_RAW!D38</f>
        <v>2063</v>
      </c>
      <c r="D38">
        <f t="shared" si="0"/>
        <v>0</v>
      </c>
      <c r="E38">
        <f t="shared" si="1"/>
        <v>0</v>
      </c>
      <c r="F38">
        <f t="shared" si="2"/>
        <v>0</v>
      </c>
      <c r="G38">
        <f t="shared" si="3"/>
        <v>0</v>
      </c>
      <c r="H38">
        <f t="shared" si="4"/>
        <v>0</v>
      </c>
      <c r="I38">
        <f t="shared" si="5"/>
        <v>0</v>
      </c>
      <c r="J38">
        <f t="shared" si="6"/>
        <v>0</v>
      </c>
      <c r="K38">
        <f t="shared" si="7"/>
        <v>0</v>
      </c>
      <c r="L38">
        <f t="shared" si="8"/>
        <v>0</v>
      </c>
      <c r="M38">
        <f t="shared" si="9"/>
        <v>0</v>
      </c>
    </row>
    <row r="39" spans="1:13" x14ac:dyDescent="0.25">
      <c r="A39" t="str">
        <f>MTO_RAW!A39</f>
        <v>ISA90X90X8</v>
      </c>
      <c r="B39">
        <f>MTO_RAW!C39</f>
        <v>8</v>
      </c>
      <c r="C39">
        <f>MTO_RAW!D39</f>
        <v>2145</v>
      </c>
      <c r="D39">
        <f t="shared" si="0"/>
        <v>0</v>
      </c>
      <c r="E39">
        <f t="shared" si="1"/>
        <v>0</v>
      </c>
      <c r="F39">
        <f t="shared" si="2"/>
        <v>0</v>
      </c>
      <c r="G39">
        <f t="shared" si="3"/>
        <v>0</v>
      </c>
      <c r="H39">
        <f t="shared" si="4"/>
        <v>0</v>
      </c>
      <c r="I39">
        <f t="shared" si="5"/>
        <v>0</v>
      </c>
      <c r="J39">
        <f t="shared" si="6"/>
        <v>0</v>
      </c>
      <c r="K39">
        <f t="shared" si="7"/>
        <v>0</v>
      </c>
      <c r="L39">
        <f t="shared" si="8"/>
        <v>0</v>
      </c>
      <c r="M39">
        <f t="shared" si="9"/>
        <v>0</v>
      </c>
    </row>
    <row r="40" spans="1:13" x14ac:dyDescent="0.25">
      <c r="A40" t="str">
        <f>MTO_RAW!A40</f>
        <v>ISA90X90X8</v>
      </c>
      <c r="B40">
        <f>MTO_RAW!C40</f>
        <v>24</v>
      </c>
      <c r="C40">
        <f>MTO_RAW!D40</f>
        <v>2159</v>
      </c>
      <c r="D40">
        <f t="shared" si="0"/>
        <v>0</v>
      </c>
      <c r="E40">
        <f t="shared" si="1"/>
        <v>0</v>
      </c>
      <c r="F40">
        <f t="shared" si="2"/>
        <v>0</v>
      </c>
      <c r="G40">
        <f t="shared" si="3"/>
        <v>0</v>
      </c>
      <c r="H40">
        <f t="shared" si="4"/>
        <v>0</v>
      </c>
      <c r="I40">
        <f t="shared" si="5"/>
        <v>0</v>
      </c>
      <c r="J40">
        <f t="shared" si="6"/>
        <v>0</v>
      </c>
      <c r="K40">
        <f t="shared" si="7"/>
        <v>0</v>
      </c>
      <c r="L40">
        <f t="shared" si="8"/>
        <v>0</v>
      </c>
      <c r="M40">
        <f t="shared" si="9"/>
        <v>0</v>
      </c>
    </row>
    <row r="41" spans="1:13" x14ac:dyDescent="0.25">
      <c r="A41" t="str">
        <f>MTO_RAW!A41</f>
        <v>ISA90X90X8</v>
      </c>
      <c r="B41">
        <f>MTO_RAW!C41</f>
        <v>24</v>
      </c>
      <c r="C41">
        <f>MTO_RAW!D41</f>
        <v>2193</v>
      </c>
      <c r="D41">
        <f t="shared" si="0"/>
        <v>0</v>
      </c>
      <c r="E41">
        <f t="shared" si="1"/>
        <v>0</v>
      </c>
      <c r="F41">
        <f t="shared" si="2"/>
        <v>0</v>
      </c>
      <c r="G41">
        <f t="shared" si="3"/>
        <v>0</v>
      </c>
      <c r="H41">
        <f t="shared" si="4"/>
        <v>0</v>
      </c>
      <c r="I41">
        <f t="shared" si="5"/>
        <v>0</v>
      </c>
      <c r="J41">
        <f t="shared" si="6"/>
        <v>0</v>
      </c>
      <c r="K41">
        <f t="shared" si="7"/>
        <v>0</v>
      </c>
      <c r="L41">
        <f t="shared" si="8"/>
        <v>0</v>
      </c>
      <c r="M41">
        <f t="shared" si="9"/>
        <v>0</v>
      </c>
    </row>
    <row r="42" spans="1:13" x14ac:dyDescent="0.25">
      <c r="A42" t="str">
        <f>MTO_RAW!A42</f>
        <v>ISA90X90X8</v>
      </c>
      <c r="B42">
        <f>MTO_RAW!C42</f>
        <v>16</v>
      </c>
      <c r="C42">
        <f>MTO_RAW!D42</f>
        <v>2385</v>
      </c>
      <c r="D42">
        <f t="shared" si="0"/>
        <v>0</v>
      </c>
      <c r="E42">
        <f t="shared" si="1"/>
        <v>0</v>
      </c>
      <c r="F42">
        <f t="shared" si="2"/>
        <v>0</v>
      </c>
      <c r="G42">
        <f t="shared" si="3"/>
        <v>0</v>
      </c>
      <c r="H42">
        <f t="shared" si="4"/>
        <v>0</v>
      </c>
      <c r="I42">
        <f t="shared" si="5"/>
        <v>0</v>
      </c>
      <c r="J42">
        <f t="shared" si="6"/>
        <v>0</v>
      </c>
      <c r="K42">
        <f t="shared" si="7"/>
        <v>0</v>
      </c>
      <c r="L42">
        <f t="shared" si="8"/>
        <v>0</v>
      </c>
      <c r="M42">
        <f t="shared" si="9"/>
        <v>0</v>
      </c>
    </row>
    <row r="43" spans="1:13" x14ac:dyDescent="0.25">
      <c r="A43" t="str">
        <f>MTO_RAW!A43</f>
        <v>ISA90X90X8</v>
      </c>
      <c r="B43">
        <f>MTO_RAW!C43</f>
        <v>12</v>
      </c>
      <c r="C43">
        <f>MTO_RAW!D43</f>
        <v>2828</v>
      </c>
      <c r="D43">
        <f t="shared" si="0"/>
        <v>0</v>
      </c>
      <c r="E43">
        <f t="shared" si="1"/>
        <v>0</v>
      </c>
      <c r="F43">
        <f t="shared" si="2"/>
        <v>0</v>
      </c>
      <c r="G43">
        <f t="shared" si="3"/>
        <v>0</v>
      </c>
      <c r="H43">
        <f t="shared" si="4"/>
        <v>0</v>
      </c>
      <c r="I43">
        <f t="shared" si="5"/>
        <v>0</v>
      </c>
      <c r="J43">
        <f t="shared" si="6"/>
        <v>0</v>
      </c>
      <c r="K43">
        <f t="shared" si="7"/>
        <v>0</v>
      </c>
      <c r="L43">
        <f t="shared" si="8"/>
        <v>0</v>
      </c>
      <c r="M43">
        <f t="shared" si="9"/>
        <v>0</v>
      </c>
    </row>
    <row r="44" spans="1:13" x14ac:dyDescent="0.25">
      <c r="A44" t="str">
        <f>MTO_RAW!A44</f>
        <v>ISA100X100X10</v>
      </c>
      <c r="B44">
        <f>MTO_RAW!C44</f>
        <v>2</v>
      </c>
      <c r="C44">
        <f>MTO_RAW!D44</f>
        <v>6000</v>
      </c>
      <c r="D44">
        <f t="shared" si="0"/>
        <v>0</v>
      </c>
      <c r="E44">
        <f t="shared" si="1"/>
        <v>0</v>
      </c>
      <c r="F44">
        <f t="shared" si="2"/>
        <v>0</v>
      </c>
      <c r="G44">
        <f t="shared" si="3"/>
        <v>0</v>
      </c>
      <c r="H44">
        <f t="shared" si="4"/>
        <v>0</v>
      </c>
      <c r="I44">
        <f t="shared" si="5"/>
        <v>10</v>
      </c>
      <c r="J44">
        <f t="shared" si="6"/>
        <v>0</v>
      </c>
      <c r="K44">
        <f t="shared" si="7"/>
        <v>0</v>
      </c>
      <c r="L44">
        <f t="shared" si="8"/>
        <v>0</v>
      </c>
      <c r="M44">
        <f t="shared" si="9"/>
        <v>0</v>
      </c>
    </row>
    <row r="45" spans="1:13" x14ac:dyDescent="0.25">
      <c r="A45" t="str">
        <f>MTO_RAW!A45</f>
        <v>ISA100X100X10</v>
      </c>
      <c r="B45">
        <f>MTO_RAW!C45</f>
        <v>4</v>
      </c>
      <c r="C45">
        <f>MTO_RAW!D45</f>
        <v>7810</v>
      </c>
      <c r="D45">
        <f t="shared" si="0"/>
        <v>0</v>
      </c>
      <c r="E45">
        <f t="shared" si="1"/>
        <v>0</v>
      </c>
      <c r="F45">
        <f t="shared" si="2"/>
        <v>0</v>
      </c>
      <c r="G45">
        <f t="shared" si="3"/>
        <v>0</v>
      </c>
      <c r="H45">
        <f t="shared" si="4"/>
        <v>0</v>
      </c>
      <c r="I45">
        <f t="shared" si="5"/>
        <v>10</v>
      </c>
      <c r="J45">
        <f t="shared" si="6"/>
        <v>0</v>
      </c>
      <c r="K45">
        <f t="shared" si="7"/>
        <v>0</v>
      </c>
      <c r="L45">
        <f t="shared" si="8"/>
        <v>0</v>
      </c>
      <c r="M45">
        <f t="shared" si="9"/>
        <v>0</v>
      </c>
    </row>
    <row r="46" spans="1:13" x14ac:dyDescent="0.25">
      <c r="A46" t="str">
        <f>MTO_RAW!A46</f>
        <v>ISA100X100X10</v>
      </c>
      <c r="B46">
        <f>MTO_RAW!C46</f>
        <v>4</v>
      </c>
      <c r="C46">
        <f>MTO_RAW!D46</f>
        <v>8485</v>
      </c>
      <c r="D46">
        <f t="shared" si="0"/>
        <v>0</v>
      </c>
      <c r="E46">
        <f t="shared" si="1"/>
        <v>0</v>
      </c>
      <c r="F46">
        <f t="shared" si="2"/>
        <v>0</v>
      </c>
      <c r="G46">
        <f t="shared" si="3"/>
        <v>0</v>
      </c>
      <c r="H46">
        <f t="shared" si="4"/>
        <v>0</v>
      </c>
      <c r="I46">
        <f t="shared" si="5"/>
        <v>10</v>
      </c>
      <c r="J46">
        <f t="shared" si="6"/>
        <v>0</v>
      </c>
      <c r="K46">
        <f t="shared" si="7"/>
        <v>0</v>
      </c>
      <c r="L46">
        <f t="shared" si="8"/>
        <v>0</v>
      </c>
      <c r="M46">
        <f t="shared" si="9"/>
        <v>0</v>
      </c>
    </row>
    <row r="47" spans="1:13" x14ac:dyDescent="0.25">
      <c r="A47" t="str">
        <f>MTO_RAW!A47</f>
        <v>ISA110X110X10</v>
      </c>
      <c r="B47">
        <f>MTO_RAW!C47</f>
        <v>12</v>
      </c>
      <c r="C47">
        <f>MTO_RAW!D47</f>
        <v>1350</v>
      </c>
      <c r="D47">
        <f t="shared" si="0"/>
        <v>0</v>
      </c>
      <c r="E47">
        <f t="shared" si="1"/>
        <v>0</v>
      </c>
      <c r="F47">
        <f t="shared" si="2"/>
        <v>0</v>
      </c>
      <c r="G47">
        <f t="shared" si="3"/>
        <v>0</v>
      </c>
      <c r="H47">
        <f t="shared" si="4"/>
        <v>0</v>
      </c>
      <c r="I47">
        <f t="shared" si="5"/>
        <v>10</v>
      </c>
      <c r="J47">
        <f t="shared" si="6"/>
        <v>0</v>
      </c>
      <c r="K47">
        <f t="shared" si="7"/>
        <v>0</v>
      </c>
      <c r="L47">
        <f t="shared" si="8"/>
        <v>0</v>
      </c>
      <c r="M47">
        <f t="shared" si="9"/>
        <v>0</v>
      </c>
    </row>
    <row r="48" spans="1:13" x14ac:dyDescent="0.25">
      <c r="A48" t="str">
        <f>MTO_RAW!A48</f>
        <v>ISA110X110X10</v>
      </c>
      <c r="B48">
        <f>MTO_RAW!C48</f>
        <v>24</v>
      </c>
      <c r="C48">
        <f>MTO_RAW!D48</f>
        <v>1500</v>
      </c>
      <c r="D48">
        <f t="shared" si="0"/>
        <v>0</v>
      </c>
      <c r="E48">
        <f t="shared" si="1"/>
        <v>0</v>
      </c>
      <c r="F48">
        <f t="shared" si="2"/>
        <v>0</v>
      </c>
      <c r="G48">
        <f t="shared" si="3"/>
        <v>0</v>
      </c>
      <c r="H48">
        <f t="shared" si="4"/>
        <v>0</v>
      </c>
      <c r="I48">
        <f t="shared" si="5"/>
        <v>10</v>
      </c>
      <c r="J48">
        <f t="shared" si="6"/>
        <v>0</v>
      </c>
      <c r="K48">
        <f t="shared" si="7"/>
        <v>0</v>
      </c>
      <c r="L48">
        <f t="shared" si="8"/>
        <v>0</v>
      </c>
      <c r="M48">
        <f t="shared" si="9"/>
        <v>0</v>
      </c>
    </row>
    <row r="49" spans="1:13" x14ac:dyDescent="0.25">
      <c r="A49" t="str">
        <f>MTO_RAW!A49</f>
        <v>ISA110X110X10</v>
      </c>
      <c r="B49">
        <f>MTO_RAW!C49</f>
        <v>4</v>
      </c>
      <c r="C49">
        <f>MTO_RAW!D49</f>
        <v>1680</v>
      </c>
      <c r="D49">
        <f t="shared" si="0"/>
        <v>0</v>
      </c>
      <c r="E49">
        <f t="shared" si="1"/>
        <v>0</v>
      </c>
      <c r="F49">
        <f t="shared" si="2"/>
        <v>0</v>
      </c>
      <c r="G49">
        <f t="shared" si="3"/>
        <v>0</v>
      </c>
      <c r="H49">
        <f t="shared" si="4"/>
        <v>0</v>
      </c>
      <c r="I49">
        <f t="shared" si="5"/>
        <v>10</v>
      </c>
      <c r="J49">
        <f t="shared" si="6"/>
        <v>0</v>
      </c>
      <c r="K49">
        <f t="shared" si="7"/>
        <v>0</v>
      </c>
      <c r="L49">
        <f t="shared" si="8"/>
        <v>0</v>
      </c>
      <c r="M49">
        <f t="shared" si="9"/>
        <v>0</v>
      </c>
    </row>
    <row r="50" spans="1:13" x14ac:dyDescent="0.25">
      <c r="A50" t="str">
        <f>MTO_RAW!A50</f>
        <v>ISA110X110X10</v>
      </c>
      <c r="B50">
        <f>MTO_RAW!C50</f>
        <v>8</v>
      </c>
      <c r="C50">
        <f>MTO_RAW!D50</f>
        <v>1888</v>
      </c>
      <c r="D50">
        <f t="shared" si="0"/>
        <v>0</v>
      </c>
      <c r="E50">
        <f t="shared" si="1"/>
        <v>0</v>
      </c>
      <c r="F50">
        <f t="shared" si="2"/>
        <v>0</v>
      </c>
      <c r="G50">
        <f t="shared" si="3"/>
        <v>0</v>
      </c>
      <c r="H50">
        <f t="shared" si="4"/>
        <v>0</v>
      </c>
      <c r="I50">
        <f t="shared" si="5"/>
        <v>10</v>
      </c>
      <c r="J50">
        <f t="shared" si="6"/>
        <v>0</v>
      </c>
      <c r="K50">
        <f t="shared" si="7"/>
        <v>0</v>
      </c>
      <c r="L50">
        <f t="shared" si="8"/>
        <v>0</v>
      </c>
      <c r="M50">
        <f t="shared" si="9"/>
        <v>0</v>
      </c>
    </row>
    <row r="51" spans="1:13" x14ac:dyDescent="0.25">
      <c r="A51" t="str">
        <f>MTO_RAW!A51</f>
        <v>ISA110X110X10</v>
      </c>
      <c r="B51">
        <f>MTO_RAW!C51</f>
        <v>4</v>
      </c>
      <c r="C51">
        <f>MTO_RAW!D51</f>
        <v>1916</v>
      </c>
      <c r="D51">
        <f t="shared" si="0"/>
        <v>0</v>
      </c>
      <c r="E51">
        <f t="shared" si="1"/>
        <v>0</v>
      </c>
      <c r="F51">
        <f t="shared" si="2"/>
        <v>0</v>
      </c>
      <c r="G51">
        <f t="shared" si="3"/>
        <v>0</v>
      </c>
      <c r="H51">
        <f t="shared" si="4"/>
        <v>0</v>
      </c>
      <c r="I51">
        <f t="shared" si="5"/>
        <v>10</v>
      </c>
      <c r="J51">
        <f t="shared" si="6"/>
        <v>0</v>
      </c>
      <c r="K51">
        <f t="shared" si="7"/>
        <v>0</v>
      </c>
      <c r="L51">
        <f t="shared" si="8"/>
        <v>0</v>
      </c>
      <c r="M51">
        <f t="shared" si="9"/>
        <v>0</v>
      </c>
    </row>
    <row r="52" spans="1:13" x14ac:dyDescent="0.25">
      <c r="A52" t="str">
        <f>MTO_RAW!A52</f>
        <v>ISA110X110X10</v>
      </c>
      <c r="B52">
        <f>MTO_RAW!C52</f>
        <v>8</v>
      </c>
      <c r="C52">
        <f>MTO_RAW!D52</f>
        <v>2018</v>
      </c>
      <c r="D52">
        <f t="shared" si="0"/>
        <v>0</v>
      </c>
      <c r="E52">
        <f t="shared" si="1"/>
        <v>0</v>
      </c>
      <c r="F52">
        <f t="shared" si="2"/>
        <v>0</v>
      </c>
      <c r="G52">
        <f t="shared" si="3"/>
        <v>0</v>
      </c>
      <c r="H52">
        <f t="shared" si="4"/>
        <v>0</v>
      </c>
      <c r="I52">
        <f t="shared" si="5"/>
        <v>10</v>
      </c>
      <c r="J52">
        <f t="shared" si="6"/>
        <v>0</v>
      </c>
      <c r="K52">
        <f t="shared" si="7"/>
        <v>0</v>
      </c>
      <c r="L52">
        <f t="shared" si="8"/>
        <v>0</v>
      </c>
      <c r="M52">
        <f t="shared" si="9"/>
        <v>0</v>
      </c>
    </row>
    <row r="53" spans="1:13" x14ac:dyDescent="0.25">
      <c r="A53" t="str">
        <f>MTO_RAW!A53</f>
        <v>ISA110X110X10</v>
      </c>
      <c r="B53">
        <f>MTO_RAW!C53</f>
        <v>8</v>
      </c>
      <c r="C53">
        <f>MTO_RAW!D53</f>
        <v>2145</v>
      </c>
      <c r="D53">
        <f t="shared" si="0"/>
        <v>0</v>
      </c>
      <c r="E53">
        <f t="shared" si="1"/>
        <v>0</v>
      </c>
      <c r="F53">
        <f t="shared" si="2"/>
        <v>0</v>
      </c>
      <c r="G53">
        <f t="shared" si="3"/>
        <v>0</v>
      </c>
      <c r="H53">
        <f t="shared" si="4"/>
        <v>0</v>
      </c>
      <c r="I53">
        <f t="shared" si="5"/>
        <v>10</v>
      </c>
      <c r="J53">
        <f t="shared" si="6"/>
        <v>0</v>
      </c>
      <c r="K53">
        <f t="shared" si="7"/>
        <v>0</v>
      </c>
      <c r="L53">
        <f t="shared" si="8"/>
        <v>0</v>
      </c>
      <c r="M53">
        <f t="shared" si="9"/>
        <v>0</v>
      </c>
    </row>
    <row r="54" spans="1:13" x14ac:dyDescent="0.25">
      <c r="A54" t="str">
        <f>MTO_RAW!A54</f>
        <v>ISA110X110X10</v>
      </c>
      <c r="B54">
        <f>MTO_RAW!C54</f>
        <v>12</v>
      </c>
      <c r="C54">
        <f>MTO_RAW!D54</f>
        <v>2157</v>
      </c>
      <c r="D54">
        <f t="shared" si="0"/>
        <v>0</v>
      </c>
      <c r="E54">
        <f t="shared" si="1"/>
        <v>0</v>
      </c>
      <c r="F54">
        <f t="shared" si="2"/>
        <v>0</v>
      </c>
      <c r="G54">
        <f t="shared" si="3"/>
        <v>0</v>
      </c>
      <c r="H54">
        <f t="shared" si="4"/>
        <v>0</v>
      </c>
      <c r="I54">
        <f t="shared" si="5"/>
        <v>10</v>
      </c>
      <c r="J54">
        <f t="shared" si="6"/>
        <v>0</v>
      </c>
      <c r="K54">
        <f t="shared" si="7"/>
        <v>0</v>
      </c>
      <c r="L54">
        <f t="shared" si="8"/>
        <v>0</v>
      </c>
      <c r="M54">
        <f t="shared" si="9"/>
        <v>0</v>
      </c>
    </row>
    <row r="55" spans="1:13" x14ac:dyDescent="0.25">
      <c r="A55" t="str">
        <f>MTO_RAW!A55</f>
        <v>ISA110X110X10</v>
      </c>
      <c r="B55">
        <f>MTO_RAW!C55</f>
        <v>8</v>
      </c>
      <c r="C55">
        <f>MTO_RAW!D55</f>
        <v>2230</v>
      </c>
      <c r="D55">
        <f t="shared" si="0"/>
        <v>0</v>
      </c>
      <c r="E55">
        <f t="shared" si="1"/>
        <v>0</v>
      </c>
      <c r="F55">
        <f t="shared" si="2"/>
        <v>0</v>
      </c>
      <c r="G55">
        <f t="shared" si="3"/>
        <v>0</v>
      </c>
      <c r="H55">
        <f t="shared" si="4"/>
        <v>0</v>
      </c>
      <c r="I55">
        <f t="shared" si="5"/>
        <v>10</v>
      </c>
      <c r="J55">
        <f t="shared" si="6"/>
        <v>0</v>
      </c>
      <c r="K55">
        <f t="shared" si="7"/>
        <v>0</v>
      </c>
      <c r="L55">
        <f t="shared" si="8"/>
        <v>0</v>
      </c>
      <c r="M55">
        <f t="shared" si="9"/>
        <v>0</v>
      </c>
    </row>
    <row r="56" spans="1:13" x14ac:dyDescent="0.25">
      <c r="A56" t="str">
        <f>MTO_RAW!A56</f>
        <v>ISA110X110X10</v>
      </c>
      <c r="B56">
        <f>MTO_RAW!C56</f>
        <v>4</v>
      </c>
      <c r="C56">
        <f>MTO_RAW!D56</f>
        <v>2267</v>
      </c>
      <c r="D56">
        <f t="shared" si="0"/>
        <v>0</v>
      </c>
      <c r="E56">
        <f t="shared" si="1"/>
        <v>0</v>
      </c>
      <c r="F56">
        <f t="shared" si="2"/>
        <v>0</v>
      </c>
      <c r="G56">
        <f t="shared" si="3"/>
        <v>0</v>
      </c>
      <c r="H56">
        <f t="shared" si="4"/>
        <v>0</v>
      </c>
      <c r="I56">
        <f t="shared" si="5"/>
        <v>10</v>
      </c>
      <c r="J56">
        <f t="shared" si="6"/>
        <v>0</v>
      </c>
      <c r="K56">
        <f t="shared" si="7"/>
        <v>0</v>
      </c>
      <c r="L56">
        <f t="shared" si="8"/>
        <v>0</v>
      </c>
      <c r="M56">
        <f t="shared" si="9"/>
        <v>0</v>
      </c>
    </row>
    <row r="57" spans="1:13" x14ac:dyDescent="0.25">
      <c r="A57" t="str">
        <f>MTO_RAW!A57</f>
        <v>ISA110X110X10</v>
      </c>
      <c r="B57">
        <f>MTO_RAW!C57</f>
        <v>16</v>
      </c>
      <c r="C57">
        <f>MTO_RAW!D57</f>
        <v>2385</v>
      </c>
      <c r="D57">
        <f t="shared" si="0"/>
        <v>0</v>
      </c>
      <c r="E57">
        <f t="shared" si="1"/>
        <v>0</v>
      </c>
      <c r="F57">
        <f t="shared" si="2"/>
        <v>0</v>
      </c>
      <c r="G57">
        <f t="shared" si="3"/>
        <v>0</v>
      </c>
      <c r="H57">
        <f t="shared" si="4"/>
        <v>0</v>
      </c>
      <c r="I57">
        <f t="shared" si="5"/>
        <v>10</v>
      </c>
      <c r="J57">
        <f t="shared" si="6"/>
        <v>0</v>
      </c>
      <c r="K57">
        <f t="shared" si="7"/>
        <v>0</v>
      </c>
      <c r="L57">
        <f t="shared" si="8"/>
        <v>0</v>
      </c>
      <c r="M57">
        <f t="shared" si="9"/>
        <v>0</v>
      </c>
    </row>
    <row r="58" spans="1:13" x14ac:dyDescent="0.25">
      <c r="A58" t="str">
        <f>MTO_RAW!A58</f>
        <v>ISA110X110X10</v>
      </c>
      <c r="B58">
        <f>MTO_RAW!C58</f>
        <v>8</v>
      </c>
      <c r="C58">
        <f>MTO_RAW!D58</f>
        <v>5086</v>
      </c>
      <c r="D58">
        <f t="shared" si="0"/>
        <v>0</v>
      </c>
      <c r="E58">
        <f t="shared" si="1"/>
        <v>0</v>
      </c>
      <c r="F58">
        <f t="shared" si="2"/>
        <v>0</v>
      </c>
      <c r="G58">
        <f t="shared" si="3"/>
        <v>0</v>
      </c>
      <c r="H58">
        <f t="shared" si="4"/>
        <v>0</v>
      </c>
      <c r="I58">
        <f t="shared" si="5"/>
        <v>10</v>
      </c>
      <c r="J58">
        <f t="shared" si="6"/>
        <v>0</v>
      </c>
      <c r="K58">
        <f t="shared" si="7"/>
        <v>0</v>
      </c>
      <c r="L58">
        <f t="shared" si="8"/>
        <v>0</v>
      </c>
      <c r="M58">
        <f t="shared" si="9"/>
        <v>0</v>
      </c>
    </row>
    <row r="59" spans="1:13" x14ac:dyDescent="0.25">
      <c r="A59" t="str">
        <f>MTO_RAW!A59</f>
        <v>ISA110X110X10</v>
      </c>
      <c r="B59">
        <f>MTO_RAW!C59</f>
        <v>4</v>
      </c>
      <c r="C59">
        <f>MTO_RAW!D59</f>
        <v>7904</v>
      </c>
      <c r="D59">
        <f t="shared" si="0"/>
        <v>0</v>
      </c>
      <c r="E59">
        <f t="shared" si="1"/>
        <v>0</v>
      </c>
      <c r="F59">
        <f t="shared" si="2"/>
        <v>0</v>
      </c>
      <c r="G59">
        <f t="shared" si="3"/>
        <v>0</v>
      </c>
      <c r="H59">
        <f t="shared" si="4"/>
        <v>0</v>
      </c>
      <c r="I59">
        <f t="shared" si="5"/>
        <v>10</v>
      </c>
      <c r="J59">
        <f t="shared" si="6"/>
        <v>0</v>
      </c>
      <c r="K59">
        <f t="shared" si="7"/>
        <v>0</v>
      </c>
      <c r="L59">
        <f t="shared" si="8"/>
        <v>0</v>
      </c>
      <c r="M59">
        <f t="shared" si="9"/>
        <v>0</v>
      </c>
    </row>
    <row r="60" spans="1:13" x14ac:dyDescent="0.25">
      <c r="A60" t="str">
        <f>MTO_RAW!A60</f>
        <v>ISA110X110X10</v>
      </c>
      <c r="B60">
        <f>MTO_RAW!C60</f>
        <v>4</v>
      </c>
      <c r="C60">
        <f>MTO_RAW!D60</f>
        <v>7918</v>
      </c>
      <c r="D60">
        <f t="shared" si="0"/>
        <v>0</v>
      </c>
      <c r="E60">
        <f t="shared" si="1"/>
        <v>0</v>
      </c>
      <c r="F60">
        <f t="shared" si="2"/>
        <v>0</v>
      </c>
      <c r="G60">
        <f t="shared" si="3"/>
        <v>0</v>
      </c>
      <c r="H60">
        <f t="shared" si="4"/>
        <v>0</v>
      </c>
      <c r="I60">
        <f t="shared" si="5"/>
        <v>10</v>
      </c>
      <c r="J60">
        <f t="shared" si="6"/>
        <v>0</v>
      </c>
      <c r="K60">
        <f t="shared" si="7"/>
        <v>0</v>
      </c>
      <c r="L60">
        <f t="shared" si="8"/>
        <v>0</v>
      </c>
      <c r="M60">
        <f t="shared" si="9"/>
        <v>0</v>
      </c>
    </row>
    <row r="61" spans="1:13" x14ac:dyDescent="0.25">
      <c r="A61" t="str">
        <f>MTO_RAW!A61</f>
        <v>ISA110X110X10</v>
      </c>
      <c r="B61">
        <f>MTO_RAW!C61</f>
        <v>4</v>
      </c>
      <c r="C61">
        <f>MTO_RAW!D61</f>
        <v>8000</v>
      </c>
      <c r="D61">
        <f t="shared" si="0"/>
        <v>0</v>
      </c>
      <c r="E61">
        <f t="shared" si="1"/>
        <v>0</v>
      </c>
      <c r="F61">
        <f t="shared" si="2"/>
        <v>0</v>
      </c>
      <c r="G61">
        <f t="shared" si="3"/>
        <v>0</v>
      </c>
      <c r="H61">
        <f t="shared" si="4"/>
        <v>0</v>
      </c>
      <c r="I61">
        <f t="shared" si="5"/>
        <v>10</v>
      </c>
      <c r="J61">
        <f t="shared" si="6"/>
        <v>0</v>
      </c>
      <c r="K61">
        <f t="shared" si="7"/>
        <v>0</v>
      </c>
      <c r="L61">
        <f t="shared" si="8"/>
        <v>0</v>
      </c>
      <c r="M61">
        <f t="shared" si="9"/>
        <v>0</v>
      </c>
    </row>
    <row r="62" spans="1:13" x14ac:dyDescent="0.25">
      <c r="A62" t="str">
        <f>MTO_RAW!A62</f>
        <v>ISA130X130X10</v>
      </c>
      <c r="B62">
        <f>MTO_RAW!C62</f>
        <v>4</v>
      </c>
      <c r="C62">
        <f>MTO_RAW!D62</f>
        <v>8000</v>
      </c>
      <c r="D62">
        <f t="shared" si="0"/>
        <v>0</v>
      </c>
      <c r="E62">
        <f t="shared" si="1"/>
        <v>0</v>
      </c>
      <c r="F62">
        <f t="shared" si="2"/>
        <v>0</v>
      </c>
      <c r="G62">
        <f t="shared" si="3"/>
        <v>0</v>
      </c>
      <c r="H62">
        <f t="shared" si="4"/>
        <v>0</v>
      </c>
      <c r="I62">
        <f t="shared" si="5"/>
        <v>10</v>
      </c>
      <c r="J62">
        <f t="shared" si="6"/>
        <v>0</v>
      </c>
      <c r="K62">
        <f t="shared" si="7"/>
        <v>0</v>
      </c>
      <c r="L62">
        <f t="shared" si="8"/>
        <v>0</v>
      </c>
      <c r="M62">
        <f t="shared" si="9"/>
        <v>0</v>
      </c>
    </row>
    <row r="63" spans="1:13" x14ac:dyDescent="0.25">
      <c r="A63" t="str">
        <f>MTO_RAW!A63</f>
        <v>ISA130X130X12</v>
      </c>
      <c r="B63">
        <f>MTO_RAW!C63</f>
        <v>4</v>
      </c>
      <c r="C63">
        <f>MTO_RAW!D63</f>
        <v>704</v>
      </c>
      <c r="D63">
        <f t="shared" si="0"/>
        <v>0</v>
      </c>
      <c r="E63">
        <f t="shared" si="1"/>
        <v>0</v>
      </c>
      <c r="F63">
        <f t="shared" si="2"/>
        <v>0</v>
      </c>
      <c r="G63">
        <f t="shared" si="3"/>
        <v>0</v>
      </c>
      <c r="H63">
        <f t="shared" si="4"/>
        <v>0</v>
      </c>
      <c r="I63">
        <f t="shared" si="5"/>
        <v>12</v>
      </c>
      <c r="J63">
        <f t="shared" si="6"/>
        <v>0</v>
      </c>
      <c r="K63">
        <f t="shared" si="7"/>
        <v>0</v>
      </c>
      <c r="L63">
        <f t="shared" si="8"/>
        <v>0</v>
      </c>
      <c r="M63">
        <f t="shared" si="9"/>
        <v>0</v>
      </c>
    </row>
    <row r="64" spans="1:13" x14ac:dyDescent="0.25">
      <c r="A64" t="str">
        <f>MTO_RAW!A64</f>
        <v>ISA130X130X12</v>
      </c>
      <c r="B64">
        <f>MTO_RAW!C64</f>
        <v>4</v>
      </c>
      <c r="C64">
        <f>MTO_RAW!D64</f>
        <v>6700</v>
      </c>
      <c r="D64">
        <f t="shared" si="0"/>
        <v>0</v>
      </c>
      <c r="E64">
        <f t="shared" si="1"/>
        <v>0</v>
      </c>
      <c r="F64">
        <f t="shared" si="2"/>
        <v>0</v>
      </c>
      <c r="G64">
        <f t="shared" si="3"/>
        <v>0</v>
      </c>
      <c r="H64">
        <f t="shared" si="4"/>
        <v>0</v>
      </c>
      <c r="I64">
        <f t="shared" si="5"/>
        <v>12</v>
      </c>
      <c r="J64">
        <f t="shared" si="6"/>
        <v>0</v>
      </c>
      <c r="K64">
        <f t="shared" si="7"/>
        <v>0</v>
      </c>
      <c r="L64">
        <f t="shared" si="8"/>
        <v>0</v>
      </c>
      <c r="M64">
        <f t="shared" si="9"/>
        <v>0</v>
      </c>
    </row>
    <row r="65" spans="1:13" x14ac:dyDescent="0.25">
      <c r="A65" t="str">
        <f>MTO_RAW!A65</f>
        <v>ISA130X130X12</v>
      </c>
      <c r="B65">
        <f>MTO_RAW!C65</f>
        <v>4</v>
      </c>
      <c r="C65">
        <f>MTO_RAW!D65</f>
        <v>7350</v>
      </c>
      <c r="D65">
        <f t="shared" si="0"/>
        <v>0</v>
      </c>
      <c r="E65">
        <f t="shared" si="1"/>
        <v>0</v>
      </c>
      <c r="F65">
        <f t="shared" si="2"/>
        <v>0</v>
      </c>
      <c r="G65">
        <f t="shared" si="3"/>
        <v>0</v>
      </c>
      <c r="H65">
        <f t="shared" si="4"/>
        <v>0</v>
      </c>
      <c r="I65">
        <f t="shared" si="5"/>
        <v>12</v>
      </c>
      <c r="J65">
        <f t="shared" si="6"/>
        <v>0</v>
      </c>
      <c r="K65">
        <f t="shared" si="7"/>
        <v>0</v>
      </c>
      <c r="L65">
        <f t="shared" si="8"/>
        <v>0</v>
      </c>
      <c r="M65">
        <f t="shared" si="9"/>
        <v>0</v>
      </c>
    </row>
    <row r="66" spans="1:13" x14ac:dyDescent="0.25">
      <c r="A66" t="str">
        <f>MTO_RAW!A66</f>
        <v>ISA150X150X16</v>
      </c>
      <c r="B66">
        <f>MTO_RAW!C66</f>
        <v>4</v>
      </c>
      <c r="C66">
        <f>MTO_RAW!D66</f>
        <v>383</v>
      </c>
      <c r="D66">
        <f t="shared" ref="D66:D129" si="10">IFERROR(VALUE(LEFT(A66,FIND("*",A66)-1)),0)</f>
        <v>0</v>
      </c>
      <c r="E66">
        <f t="shared" ref="E66:E129" si="11">IFERROR(VALUE(MID(A66,FIND("*",A66)+1,FIND("-",A66)-FIND("*",A66)-1)),0)</f>
        <v>0</v>
      </c>
      <c r="F66">
        <f t="shared" ref="F66:F129" si="12">IFERROR(VALUE(MID(A66,FIND("-",A66)+1,FIND("*",A66,FIND("-",A66))-FIND("-",A66)-1)),0)</f>
        <v>0</v>
      </c>
      <c r="G66">
        <f t="shared" ref="G66:G129" si="13">IFERROR(VALUE(MID(A66,FIND("*",A66,FIND("-",A66))+1,10)),0)</f>
        <v>0</v>
      </c>
      <c r="H66">
        <f t="shared" ref="H66:H129" si="14">IFERROR(VALUE(MID(A66,FIND("-",A66,FIND("-",A66)+1)+1,5)),D66)</f>
        <v>0</v>
      </c>
      <c r="I66">
        <f t="shared" ref="I66:I129" si="15">IFERROR(VALUE(RIGHT(A66,2)),E66)</f>
        <v>16</v>
      </c>
      <c r="J66">
        <f t="shared" ref="J66:J129" si="16">IF(E66=16,(D66/1000)*(C66/1000)*(16/1000)*7850*B66,0)+IF(I66=16,(H66/1000)*(C66/1000)*(16/1000)*7850*B66,0)+IF(G66=16,(F66/1000)*(C66/1000)*(16/1000)*7850*B66,0)</f>
        <v>0</v>
      </c>
      <c r="K66">
        <f t="shared" ref="K66:K129" si="17">IF(E66=20,(D66/1000)*(C66/1000)*(20/1000)*7850*B66,0)+IF(I66=20,(H66/1000)*(C66/1000)*(20/1000)*7850*B66,0)+IF(G66=20,(F66/1000)*(C66/1000)*(20/1000)*7850*B66,0)</f>
        <v>0</v>
      </c>
      <c r="L66">
        <f t="shared" ref="L66:L129" si="18">IF(E66=32,(D66/1000)*(C66/1000)*(32/1000)*7850*B66,0)+IF(I66=32,(H66/1000)*(C66/1000)*(32/1000)*7850*B66,0)+IF(G66=32,(F66/1000)*(C66/1000)*(32/1000)*7850*B66,0)</f>
        <v>0</v>
      </c>
      <c r="M66">
        <f t="shared" ref="M66:M129" si="19">IF(E66=40,(D66/1000)*(C66/1000)*(40/1000)*7850*B66,0)+IF(I66=40,(H66/1000)*(C66/1000)*(40/1000)*7850*B66,0)+IF(G66=40,(F66/1000)*(C66/1000)*(40/1000)*7850*B66,0)</f>
        <v>0</v>
      </c>
    </row>
    <row r="67" spans="1:13" x14ac:dyDescent="0.25">
      <c r="A67" t="str">
        <f>MTO_RAW!A67</f>
        <v>ISA150X150X16</v>
      </c>
      <c r="B67">
        <f>MTO_RAW!C67</f>
        <v>4</v>
      </c>
      <c r="C67">
        <f>MTO_RAW!D67</f>
        <v>816</v>
      </c>
      <c r="D67">
        <f t="shared" si="10"/>
        <v>0</v>
      </c>
      <c r="E67">
        <f t="shared" si="11"/>
        <v>0</v>
      </c>
      <c r="F67">
        <f t="shared" si="12"/>
        <v>0</v>
      </c>
      <c r="G67">
        <f t="shared" si="13"/>
        <v>0</v>
      </c>
      <c r="H67">
        <f t="shared" si="14"/>
        <v>0</v>
      </c>
      <c r="I67">
        <f t="shared" si="15"/>
        <v>16</v>
      </c>
      <c r="J67">
        <f t="shared" si="16"/>
        <v>0</v>
      </c>
      <c r="K67">
        <f t="shared" si="17"/>
        <v>0</v>
      </c>
      <c r="L67">
        <f t="shared" si="18"/>
        <v>0</v>
      </c>
      <c r="M67">
        <f t="shared" si="19"/>
        <v>0</v>
      </c>
    </row>
    <row r="68" spans="1:13" x14ac:dyDescent="0.25">
      <c r="A68" t="str">
        <f>MTO_RAW!A68</f>
        <v>ISA150X150X16</v>
      </c>
      <c r="B68">
        <f>MTO_RAW!C68</f>
        <v>4</v>
      </c>
      <c r="C68">
        <f>MTO_RAW!D68</f>
        <v>1369</v>
      </c>
      <c r="D68">
        <f t="shared" si="10"/>
        <v>0</v>
      </c>
      <c r="E68">
        <f t="shared" si="11"/>
        <v>0</v>
      </c>
      <c r="F68">
        <f t="shared" si="12"/>
        <v>0</v>
      </c>
      <c r="G68">
        <f t="shared" si="13"/>
        <v>0</v>
      </c>
      <c r="H68">
        <f t="shared" si="14"/>
        <v>0</v>
      </c>
      <c r="I68">
        <f t="shared" si="15"/>
        <v>16</v>
      </c>
      <c r="J68">
        <f t="shared" si="16"/>
        <v>0</v>
      </c>
      <c r="K68">
        <f t="shared" si="17"/>
        <v>0</v>
      </c>
      <c r="L68">
        <f t="shared" si="18"/>
        <v>0</v>
      </c>
      <c r="M68">
        <f t="shared" si="19"/>
        <v>0</v>
      </c>
    </row>
    <row r="69" spans="1:13" x14ac:dyDescent="0.25">
      <c r="A69" t="str">
        <f>MTO_RAW!A69</f>
        <v>ISA150X150X16</v>
      </c>
      <c r="B69">
        <f>MTO_RAW!C69</f>
        <v>16</v>
      </c>
      <c r="C69">
        <f>MTO_RAW!D69</f>
        <v>1767</v>
      </c>
      <c r="D69">
        <f t="shared" si="10"/>
        <v>0</v>
      </c>
      <c r="E69">
        <f t="shared" si="11"/>
        <v>0</v>
      </c>
      <c r="F69">
        <f t="shared" si="12"/>
        <v>0</v>
      </c>
      <c r="G69">
        <f t="shared" si="13"/>
        <v>0</v>
      </c>
      <c r="H69">
        <f t="shared" si="14"/>
        <v>0</v>
      </c>
      <c r="I69">
        <f t="shared" si="15"/>
        <v>16</v>
      </c>
      <c r="J69">
        <f t="shared" si="16"/>
        <v>0</v>
      </c>
      <c r="K69">
        <f t="shared" si="17"/>
        <v>0</v>
      </c>
      <c r="L69">
        <f t="shared" si="18"/>
        <v>0</v>
      </c>
      <c r="M69">
        <f t="shared" si="19"/>
        <v>0</v>
      </c>
    </row>
    <row r="70" spans="1:13" x14ac:dyDescent="0.25">
      <c r="A70" t="str">
        <f>MTO_RAW!A70</f>
        <v>ISA150X150X16</v>
      </c>
      <c r="B70">
        <f>MTO_RAW!C70</f>
        <v>8</v>
      </c>
      <c r="C70">
        <f>MTO_RAW!D70</f>
        <v>1773</v>
      </c>
      <c r="D70">
        <f t="shared" si="10"/>
        <v>0</v>
      </c>
      <c r="E70">
        <f t="shared" si="11"/>
        <v>0</v>
      </c>
      <c r="F70">
        <f t="shared" si="12"/>
        <v>0</v>
      </c>
      <c r="G70">
        <f t="shared" si="13"/>
        <v>0</v>
      </c>
      <c r="H70">
        <f t="shared" si="14"/>
        <v>0</v>
      </c>
      <c r="I70">
        <f t="shared" si="15"/>
        <v>16</v>
      </c>
      <c r="J70">
        <f t="shared" si="16"/>
        <v>0</v>
      </c>
      <c r="K70">
        <f t="shared" si="17"/>
        <v>0</v>
      </c>
      <c r="L70">
        <f t="shared" si="18"/>
        <v>0</v>
      </c>
      <c r="M70">
        <f t="shared" si="19"/>
        <v>0</v>
      </c>
    </row>
    <row r="71" spans="1:13" x14ac:dyDescent="0.25">
      <c r="A71" t="str">
        <f>MTO_RAW!A71</f>
        <v>ISA150X150X16</v>
      </c>
      <c r="B71">
        <f>MTO_RAW!C71</f>
        <v>24</v>
      </c>
      <c r="C71">
        <f>MTO_RAW!D71</f>
        <v>1802</v>
      </c>
      <c r="D71">
        <f t="shared" si="10"/>
        <v>0</v>
      </c>
      <c r="E71">
        <f t="shared" si="11"/>
        <v>0</v>
      </c>
      <c r="F71">
        <f t="shared" si="12"/>
        <v>0</v>
      </c>
      <c r="G71">
        <f t="shared" si="13"/>
        <v>0</v>
      </c>
      <c r="H71">
        <f t="shared" si="14"/>
        <v>0</v>
      </c>
      <c r="I71">
        <f t="shared" si="15"/>
        <v>16</v>
      </c>
      <c r="J71">
        <f t="shared" si="16"/>
        <v>0</v>
      </c>
      <c r="K71">
        <f t="shared" si="17"/>
        <v>0</v>
      </c>
      <c r="L71">
        <f t="shared" si="18"/>
        <v>0</v>
      </c>
      <c r="M71">
        <f t="shared" si="19"/>
        <v>0</v>
      </c>
    </row>
    <row r="72" spans="1:13" x14ac:dyDescent="0.25">
      <c r="A72" t="str">
        <f>MTO_RAW!A72</f>
        <v>ISA150X150X16</v>
      </c>
      <c r="B72">
        <f>MTO_RAW!C72</f>
        <v>4</v>
      </c>
      <c r="C72">
        <f>MTO_RAW!D72</f>
        <v>2316</v>
      </c>
      <c r="D72">
        <f t="shared" si="10"/>
        <v>0</v>
      </c>
      <c r="E72">
        <f t="shared" si="11"/>
        <v>0</v>
      </c>
      <c r="F72">
        <f t="shared" si="12"/>
        <v>0</v>
      </c>
      <c r="G72">
        <f t="shared" si="13"/>
        <v>0</v>
      </c>
      <c r="H72">
        <f t="shared" si="14"/>
        <v>0</v>
      </c>
      <c r="I72">
        <f t="shared" si="15"/>
        <v>16</v>
      </c>
      <c r="J72">
        <f t="shared" si="16"/>
        <v>0</v>
      </c>
      <c r="K72">
        <f t="shared" si="17"/>
        <v>0</v>
      </c>
      <c r="L72">
        <f t="shared" si="18"/>
        <v>0</v>
      </c>
      <c r="M72">
        <f t="shared" si="19"/>
        <v>0</v>
      </c>
    </row>
    <row r="73" spans="1:13" x14ac:dyDescent="0.25">
      <c r="A73" t="str">
        <f>MTO_RAW!A73</f>
        <v>ISMC150</v>
      </c>
      <c r="B73">
        <f>MTO_RAW!C73</f>
        <v>46</v>
      </c>
      <c r="C73">
        <f>MTO_RAW!D73</f>
        <v>8000</v>
      </c>
      <c r="D73">
        <f t="shared" si="10"/>
        <v>0</v>
      </c>
      <c r="E73">
        <f t="shared" si="11"/>
        <v>0</v>
      </c>
      <c r="F73">
        <f t="shared" si="12"/>
        <v>0</v>
      </c>
      <c r="G73">
        <f t="shared" si="13"/>
        <v>0</v>
      </c>
      <c r="H73">
        <f t="shared" si="14"/>
        <v>0</v>
      </c>
      <c r="I73">
        <f t="shared" si="15"/>
        <v>50</v>
      </c>
      <c r="J73">
        <f t="shared" si="16"/>
        <v>0</v>
      </c>
      <c r="K73">
        <f t="shared" si="17"/>
        <v>0</v>
      </c>
      <c r="L73">
        <f t="shared" si="18"/>
        <v>0</v>
      </c>
      <c r="M73">
        <f t="shared" si="19"/>
        <v>0</v>
      </c>
    </row>
    <row r="74" spans="1:13" x14ac:dyDescent="0.25">
      <c r="A74" t="str">
        <f>MTO_RAW!A74</f>
        <v>ISMC200</v>
      </c>
      <c r="B74">
        <f>MTO_RAW!C74</f>
        <v>3</v>
      </c>
      <c r="C74">
        <f>MTO_RAW!D74</f>
        <v>1635</v>
      </c>
      <c r="D74">
        <f t="shared" si="10"/>
        <v>0</v>
      </c>
      <c r="E74">
        <f t="shared" si="11"/>
        <v>0</v>
      </c>
      <c r="F74">
        <f t="shared" si="12"/>
        <v>0</v>
      </c>
      <c r="G74">
        <f t="shared" si="13"/>
        <v>0</v>
      </c>
      <c r="H74">
        <f t="shared" si="14"/>
        <v>0</v>
      </c>
      <c r="I74">
        <f t="shared" si="15"/>
        <v>0</v>
      </c>
      <c r="J74">
        <f t="shared" si="16"/>
        <v>0</v>
      </c>
      <c r="K74">
        <f t="shared" si="17"/>
        <v>0</v>
      </c>
      <c r="L74">
        <f t="shared" si="18"/>
        <v>0</v>
      </c>
      <c r="M74">
        <f t="shared" si="19"/>
        <v>0</v>
      </c>
    </row>
    <row r="75" spans="1:13" x14ac:dyDescent="0.25">
      <c r="A75" t="str">
        <f>MTO_RAW!A75</f>
        <v>ISMC200</v>
      </c>
      <c r="B75">
        <f>MTO_RAW!C75</f>
        <v>3</v>
      </c>
      <c r="C75">
        <f>MTO_RAW!D75</f>
        <v>1700</v>
      </c>
      <c r="D75">
        <f t="shared" si="10"/>
        <v>0</v>
      </c>
      <c r="E75">
        <f t="shared" si="11"/>
        <v>0</v>
      </c>
      <c r="F75">
        <f t="shared" si="12"/>
        <v>0</v>
      </c>
      <c r="G75">
        <f t="shared" si="13"/>
        <v>0</v>
      </c>
      <c r="H75">
        <f t="shared" si="14"/>
        <v>0</v>
      </c>
      <c r="I75">
        <f t="shared" si="15"/>
        <v>0</v>
      </c>
      <c r="J75">
        <f t="shared" si="16"/>
        <v>0</v>
      </c>
      <c r="K75">
        <f t="shared" si="17"/>
        <v>0</v>
      </c>
      <c r="L75">
        <f t="shared" si="18"/>
        <v>0</v>
      </c>
      <c r="M75">
        <f t="shared" si="19"/>
        <v>0</v>
      </c>
    </row>
    <row r="76" spans="1:13" x14ac:dyDescent="0.25">
      <c r="A76" t="str">
        <f>MTO_RAW!A76</f>
        <v>ISMC200</v>
      </c>
      <c r="B76">
        <f>MTO_RAW!C76</f>
        <v>5</v>
      </c>
      <c r="C76">
        <f>MTO_RAW!D76</f>
        <v>1769</v>
      </c>
      <c r="D76">
        <f t="shared" si="10"/>
        <v>0</v>
      </c>
      <c r="E76">
        <f t="shared" si="11"/>
        <v>0</v>
      </c>
      <c r="F76">
        <f t="shared" si="12"/>
        <v>0</v>
      </c>
      <c r="G76">
        <f t="shared" si="13"/>
        <v>0</v>
      </c>
      <c r="H76">
        <f t="shared" si="14"/>
        <v>0</v>
      </c>
      <c r="I76">
        <f t="shared" si="15"/>
        <v>0</v>
      </c>
      <c r="J76">
        <f t="shared" si="16"/>
        <v>0</v>
      </c>
      <c r="K76">
        <f t="shared" si="17"/>
        <v>0</v>
      </c>
      <c r="L76">
        <f t="shared" si="18"/>
        <v>0</v>
      </c>
      <c r="M76">
        <f t="shared" si="19"/>
        <v>0</v>
      </c>
    </row>
    <row r="77" spans="1:13" x14ac:dyDescent="0.25">
      <c r="A77" t="str">
        <f>MTO_RAW!A77</f>
        <v>ISMC200</v>
      </c>
      <c r="B77">
        <f>MTO_RAW!C77</f>
        <v>20</v>
      </c>
      <c r="C77">
        <f>MTO_RAW!D77</f>
        <v>1772</v>
      </c>
      <c r="D77">
        <f t="shared" si="10"/>
        <v>0</v>
      </c>
      <c r="E77">
        <f t="shared" si="11"/>
        <v>0</v>
      </c>
      <c r="F77">
        <f t="shared" si="12"/>
        <v>0</v>
      </c>
      <c r="G77">
        <f t="shared" si="13"/>
        <v>0</v>
      </c>
      <c r="H77">
        <f t="shared" si="14"/>
        <v>0</v>
      </c>
      <c r="I77">
        <f t="shared" si="15"/>
        <v>0</v>
      </c>
      <c r="J77">
        <f t="shared" si="16"/>
        <v>0</v>
      </c>
      <c r="K77">
        <f t="shared" si="17"/>
        <v>0</v>
      </c>
      <c r="L77">
        <f t="shared" si="18"/>
        <v>0</v>
      </c>
      <c r="M77">
        <f t="shared" si="19"/>
        <v>0</v>
      </c>
    </row>
    <row r="78" spans="1:13" x14ac:dyDescent="0.25">
      <c r="A78" t="str">
        <f>MTO_RAW!A78</f>
        <v>ISMC200</v>
      </c>
      <c r="B78">
        <f>MTO_RAW!C78</f>
        <v>56</v>
      </c>
      <c r="C78">
        <f>MTO_RAW!D78</f>
        <v>2000</v>
      </c>
      <c r="D78">
        <f t="shared" si="10"/>
        <v>0</v>
      </c>
      <c r="E78">
        <f t="shared" si="11"/>
        <v>0</v>
      </c>
      <c r="F78">
        <f t="shared" si="12"/>
        <v>0</v>
      </c>
      <c r="G78">
        <f t="shared" si="13"/>
        <v>0</v>
      </c>
      <c r="H78">
        <f t="shared" si="14"/>
        <v>0</v>
      </c>
      <c r="I78">
        <f t="shared" si="15"/>
        <v>0</v>
      </c>
      <c r="J78">
        <f t="shared" si="16"/>
        <v>0</v>
      </c>
      <c r="K78">
        <f t="shared" si="17"/>
        <v>0</v>
      </c>
      <c r="L78">
        <f t="shared" si="18"/>
        <v>0</v>
      </c>
      <c r="M78">
        <f t="shared" si="19"/>
        <v>0</v>
      </c>
    </row>
    <row r="79" spans="1:13" x14ac:dyDescent="0.25">
      <c r="A79" t="str">
        <f>MTO_RAW!A79</f>
        <v>ISMC250</v>
      </c>
      <c r="B79">
        <f>MTO_RAW!C79</f>
        <v>4</v>
      </c>
      <c r="C79">
        <f>MTO_RAW!D79</f>
        <v>2585</v>
      </c>
      <c r="D79">
        <f t="shared" si="10"/>
        <v>0</v>
      </c>
      <c r="E79">
        <f t="shared" si="11"/>
        <v>0</v>
      </c>
      <c r="F79">
        <f t="shared" si="12"/>
        <v>0</v>
      </c>
      <c r="G79">
        <f t="shared" si="13"/>
        <v>0</v>
      </c>
      <c r="H79">
        <f t="shared" si="14"/>
        <v>0</v>
      </c>
      <c r="I79">
        <f t="shared" si="15"/>
        <v>50</v>
      </c>
      <c r="J79">
        <f t="shared" si="16"/>
        <v>0</v>
      </c>
      <c r="K79">
        <f t="shared" si="17"/>
        <v>0</v>
      </c>
      <c r="L79">
        <f t="shared" si="18"/>
        <v>0</v>
      </c>
      <c r="M79">
        <f t="shared" si="19"/>
        <v>0</v>
      </c>
    </row>
    <row r="80" spans="1:13" x14ac:dyDescent="0.25">
      <c r="A80" t="str">
        <f>MTO_RAW!A80</f>
        <v>ISMC250</v>
      </c>
      <c r="B80">
        <f>MTO_RAW!C80</f>
        <v>4</v>
      </c>
      <c r="C80">
        <f>MTO_RAW!D80</f>
        <v>2821</v>
      </c>
      <c r="D80">
        <f t="shared" si="10"/>
        <v>0</v>
      </c>
      <c r="E80">
        <f t="shared" si="11"/>
        <v>0</v>
      </c>
      <c r="F80">
        <f t="shared" si="12"/>
        <v>0</v>
      </c>
      <c r="G80">
        <f t="shared" si="13"/>
        <v>0</v>
      </c>
      <c r="H80">
        <f t="shared" si="14"/>
        <v>0</v>
      </c>
      <c r="I80">
        <f t="shared" si="15"/>
        <v>50</v>
      </c>
      <c r="J80">
        <f t="shared" si="16"/>
        <v>0</v>
      </c>
      <c r="K80">
        <f t="shared" si="17"/>
        <v>0</v>
      </c>
      <c r="L80">
        <f t="shared" si="18"/>
        <v>0</v>
      </c>
      <c r="M80">
        <f t="shared" si="19"/>
        <v>0</v>
      </c>
    </row>
    <row r="81" spans="1:13" x14ac:dyDescent="0.25">
      <c r="A81" t="str">
        <f>MTO_RAW!A81</f>
        <v>ISMC300</v>
      </c>
      <c r="B81">
        <f>MTO_RAW!C81</f>
        <v>3</v>
      </c>
      <c r="C81">
        <f>MTO_RAW!D81</f>
        <v>2677</v>
      </c>
      <c r="D81">
        <f t="shared" si="10"/>
        <v>0</v>
      </c>
      <c r="E81">
        <f t="shared" si="11"/>
        <v>0</v>
      </c>
      <c r="F81">
        <f t="shared" si="12"/>
        <v>0</v>
      </c>
      <c r="G81">
        <f t="shared" si="13"/>
        <v>0</v>
      </c>
      <c r="H81">
        <f t="shared" si="14"/>
        <v>0</v>
      </c>
      <c r="I81">
        <f t="shared" si="15"/>
        <v>0</v>
      </c>
      <c r="J81">
        <f t="shared" si="16"/>
        <v>0</v>
      </c>
      <c r="K81">
        <f t="shared" si="17"/>
        <v>0</v>
      </c>
      <c r="L81">
        <f t="shared" si="18"/>
        <v>0</v>
      </c>
      <c r="M81">
        <f t="shared" si="19"/>
        <v>0</v>
      </c>
    </row>
    <row r="82" spans="1:13" x14ac:dyDescent="0.25">
      <c r="A82" t="str">
        <f>MTO_RAW!A82</f>
        <v>ISMC300</v>
      </c>
      <c r="B82">
        <f>MTO_RAW!C82</f>
        <v>3</v>
      </c>
      <c r="C82">
        <f>MTO_RAW!D82</f>
        <v>2678</v>
      </c>
      <c r="D82">
        <f t="shared" si="10"/>
        <v>0</v>
      </c>
      <c r="E82">
        <f t="shared" si="11"/>
        <v>0</v>
      </c>
      <c r="F82">
        <f t="shared" si="12"/>
        <v>0</v>
      </c>
      <c r="G82">
        <f t="shared" si="13"/>
        <v>0</v>
      </c>
      <c r="H82">
        <f t="shared" si="14"/>
        <v>0</v>
      </c>
      <c r="I82">
        <f t="shared" si="15"/>
        <v>0</v>
      </c>
      <c r="J82">
        <f t="shared" si="16"/>
        <v>0</v>
      </c>
      <c r="K82">
        <f t="shared" si="17"/>
        <v>0</v>
      </c>
      <c r="L82">
        <f t="shared" si="18"/>
        <v>0</v>
      </c>
      <c r="M82">
        <f t="shared" si="19"/>
        <v>0</v>
      </c>
    </row>
    <row r="83" spans="1:13" x14ac:dyDescent="0.25">
      <c r="A83" t="str">
        <f>MTO_RAW!A83</f>
        <v>ISMC300</v>
      </c>
      <c r="B83">
        <f>MTO_RAW!C83</f>
        <v>1</v>
      </c>
      <c r="C83">
        <f>MTO_RAW!D83</f>
        <v>5600</v>
      </c>
      <c r="D83">
        <f t="shared" si="10"/>
        <v>0</v>
      </c>
      <c r="E83">
        <f t="shared" si="11"/>
        <v>0</v>
      </c>
      <c r="F83">
        <f t="shared" si="12"/>
        <v>0</v>
      </c>
      <c r="G83">
        <f t="shared" si="13"/>
        <v>0</v>
      </c>
      <c r="H83">
        <f t="shared" si="14"/>
        <v>0</v>
      </c>
      <c r="I83">
        <f t="shared" si="15"/>
        <v>0</v>
      </c>
      <c r="J83">
        <f t="shared" si="16"/>
        <v>0</v>
      </c>
      <c r="K83">
        <f t="shared" si="17"/>
        <v>0</v>
      </c>
      <c r="L83">
        <f t="shared" si="18"/>
        <v>0</v>
      </c>
      <c r="M83">
        <f t="shared" si="19"/>
        <v>0</v>
      </c>
    </row>
    <row r="84" spans="1:13" x14ac:dyDescent="0.25">
      <c r="A84" t="str">
        <f>MTO_RAW!A84</f>
        <v>ISMC350</v>
      </c>
      <c r="B84">
        <f>MTO_RAW!C84</f>
        <v>2</v>
      </c>
      <c r="C84">
        <f>MTO_RAW!D84</f>
        <v>2168</v>
      </c>
      <c r="D84">
        <f t="shared" si="10"/>
        <v>0</v>
      </c>
      <c r="E84">
        <f t="shared" si="11"/>
        <v>0</v>
      </c>
      <c r="F84">
        <f t="shared" si="12"/>
        <v>0</v>
      </c>
      <c r="G84">
        <f t="shared" si="13"/>
        <v>0</v>
      </c>
      <c r="H84">
        <f t="shared" si="14"/>
        <v>0</v>
      </c>
      <c r="I84">
        <f t="shared" si="15"/>
        <v>50</v>
      </c>
      <c r="J84">
        <f t="shared" si="16"/>
        <v>0</v>
      </c>
      <c r="K84">
        <f t="shared" si="17"/>
        <v>0</v>
      </c>
      <c r="L84">
        <f t="shared" si="18"/>
        <v>0</v>
      </c>
      <c r="M84">
        <f t="shared" si="19"/>
        <v>0</v>
      </c>
    </row>
    <row r="85" spans="1:13" x14ac:dyDescent="0.25">
      <c r="A85" t="str">
        <f>MTO_RAW!A85</f>
        <v>ISMC350</v>
      </c>
      <c r="B85">
        <f>MTO_RAW!C85</f>
        <v>2</v>
      </c>
      <c r="C85">
        <f>MTO_RAW!D85</f>
        <v>2589</v>
      </c>
      <c r="D85">
        <f t="shared" si="10"/>
        <v>0</v>
      </c>
      <c r="E85">
        <f t="shared" si="11"/>
        <v>0</v>
      </c>
      <c r="F85">
        <f t="shared" si="12"/>
        <v>0</v>
      </c>
      <c r="G85">
        <f t="shared" si="13"/>
        <v>0</v>
      </c>
      <c r="H85">
        <f t="shared" si="14"/>
        <v>0</v>
      </c>
      <c r="I85">
        <f t="shared" si="15"/>
        <v>50</v>
      </c>
      <c r="J85">
        <f t="shared" si="16"/>
        <v>0</v>
      </c>
      <c r="K85">
        <f t="shared" si="17"/>
        <v>0</v>
      </c>
      <c r="L85">
        <f t="shared" si="18"/>
        <v>0</v>
      </c>
      <c r="M85">
        <f t="shared" si="19"/>
        <v>0</v>
      </c>
    </row>
    <row r="86" spans="1:13" x14ac:dyDescent="0.25">
      <c r="A86" t="str">
        <f>MTO_RAW!A86</f>
        <v>ISMC400</v>
      </c>
      <c r="B86">
        <f>MTO_RAW!C86</f>
        <v>5</v>
      </c>
      <c r="C86">
        <f>MTO_RAW!D86</f>
        <v>2000</v>
      </c>
      <c r="D86">
        <f t="shared" si="10"/>
        <v>0</v>
      </c>
      <c r="E86">
        <f t="shared" si="11"/>
        <v>0</v>
      </c>
      <c r="F86">
        <f t="shared" si="12"/>
        <v>0</v>
      </c>
      <c r="G86">
        <f t="shared" si="13"/>
        <v>0</v>
      </c>
      <c r="H86">
        <f t="shared" si="14"/>
        <v>0</v>
      </c>
      <c r="I86">
        <f t="shared" si="15"/>
        <v>0</v>
      </c>
      <c r="J86">
        <f t="shared" si="16"/>
        <v>0</v>
      </c>
      <c r="K86">
        <f t="shared" si="17"/>
        <v>0</v>
      </c>
      <c r="L86">
        <f t="shared" si="18"/>
        <v>0</v>
      </c>
      <c r="M86">
        <f t="shared" si="19"/>
        <v>0</v>
      </c>
    </row>
    <row r="87" spans="1:13" x14ac:dyDescent="0.25">
      <c r="A87" t="str">
        <f>MTO_RAW!A87</f>
        <v>ISMC400</v>
      </c>
      <c r="B87">
        <f>MTO_RAW!C87</f>
        <v>2</v>
      </c>
      <c r="C87">
        <f>MTO_RAW!D87</f>
        <v>2510</v>
      </c>
      <c r="D87">
        <f t="shared" si="10"/>
        <v>0</v>
      </c>
      <c r="E87">
        <f t="shared" si="11"/>
        <v>0</v>
      </c>
      <c r="F87">
        <f t="shared" si="12"/>
        <v>0</v>
      </c>
      <c r="G87">
        <f t="shared" si="13"/>
        <v>0</v>
      </c>
      <c r="H87">
        <f t="shared" si="14"/>
        <v>0</v>
      </c>
      <c r="I87">
        <f t="shared" si="15"/>
        <v>0</v>
      </c>
      <c r="J87">
        <f t="shared" si="16"/>
        <v>0</v>
      </c>
      <c r="K87">
        <f t="shared" si="17"/>
        <v>0</v>
      </c>
      <c r="L87">
        <f t="shared" si="18"/>
        <v>0</v>
      </c>
      <c r="M87">
        <f t="shared" si="19"/>
        <v>0</v>
      </c>
    </row>
    <row r="88" spans="1:13" x14ac:dyDescent="0.25">
      <c r="A88" t="str">
        <f>MTO_RAW!A88</f>
        <v>ISMC400</v>
      </c>
      <c r="B88">
        <f>MTO_RAW!C88</f>
        <v>1</v>
      </c>
      <c r="C88">
        <f>MTO_RAW!D88</f>
        <v>6750</v>
      </c>
      <c r="D88">
        <f t="shared" si="10"/>
        <v>0</v>
      </c>
      <c r="E88">
        <f t="shared" si="11"/>
        <v>0</v>
      </c>
      <c r="F88">
        <f t="shared" si="12"/>
        <v>0</v>
      </c>
      <c r="G88">
        <f t="shared" si="13"/>
        <v>0</v>
      </c>
      <c r="H88">
        <f t="shared" si="14"/>
        <v>0</v>
      </c>
      <c r="I88">
        <f t="shared" si="15"/>
        <v>0</v>
      </c>
      <c r="J88">
        <f t="shared" si="16"/>
        <v>0</v>
      </c>
      <c r="K88">
        <f t="shared" si="17"/>
        <v>0</v>
      </c>
      <c r="L88">
        <f t="shared" si="18"/>
        <v>0</v>
      </c>
      <c r="M88">
        <f t="shared" si="19"/>
        <v>0</v>
      </c>
    </row>
    <row r="89" spans="1:13" x14ac:dyDescent="0.25">
      <c r="A89" t="str">
        <f>MTO_RAW!A89</f>
        <v>ISMC400</v>
      </c>
      <c r="B89">
        <f>MTO_RAW!C89</f>
        <v>2</v>
      </c>
      <c r="C89">
        <f>MTO_RAW!D89</f>
        <v>7300</v>
      </c>
      <c r="D89">
        <f t="shared" si="10"/>
        <v>0</v>
      </c>
      <c r="E89">
        <f t="shared" si="11"/>
        <v>0</v>
      </c>
      <c r="F89">
        <f t="shared" si="12"/>
        <v>0</v>
      </c>
      <c r="G89">
        <f t="shared" si="13"/>
        <v>0</v>
      </c>
      <c r="H89">
        <f t="shared" si="14"/>
        <v>0</v>
      </c>
      <c r="I89">
        <f t="shared" si="15"/>
        <v>0</v>
      </c>
      <c r="J89">
        <f t="shared" si="16"/>
        <v>0</v>
      </c>
      <c r="K89">
        <f t="shared" si="17"/>
        <v>0</v>
      </c>
      <c r="L89">
        <f t="shared" si="18"/>
        <v>0</v>
      </c>
      <c r="M89">
        <f t="shared" si="19"/>
        <v>0</v>
      </c>
    </row>
    <row r="90" spans="1:13" x14ac:dyDescent="0.25">
      <c r="A90" t="str">
        <f>MTO_RAW!A90</f>
        <v>ISMC400</v>
      </c>
      <c r="B90">
        <f>MTO_RAW!C90</f>
        <v>2</v>
      </c>
      <c r="C90">
        <f>MTO_RAW!D90</f>
        <v>8000</v>
      </c>
      <c r="D90">
        <f t="shared" si="10"/>
        <v>0</v>
      </c>
      <c r="E90">
        <f t="shared" si="11"/>
        <v>0</v>
      </c>
      <c r="F90">
        <f t="shared" si="12"/>
        <v>0</v>
      </c>
      <c r="G90">
        <f t="shared" si="13"/>
        <v>0</v>
      </c>
      <c r="H90">
        <f t="shared" si="14"/>
        <v>0</v>
      </c>
      <c r="I90">
        <f t="shared" si="15"/>
        <v>0</v>
      </c>
      <c r="J90">
        <f t="shared" si="16"/>
        <v>0</v>
      </c>
      <c r="K90">
        <f t="shared" si="17"/>
        <v>0</v>
      </c>
      <c r="L90">
        <f t="shared" si="18"/>
        <v>0</v>
      </c>
      <c r="M90">
        <f t="shared" si="19"/>
        <v>0</v>
      </c>
    </row>
    <row r="91" spans="1:13" x14ac:dyDescent="0.25">
      <c r="A91" t="str">
        <f>MTO_RAW!A91</f>
        <v>PG200*20-660*12</v>
      </c>
      <c r="B91">
        <f>MTO_RAW!C91</f>
        <v>3</v>
      </c>
      <c r="C91">
        <f>MTO_RAW!D91</f>
        <v>8000</v>
      </c>
      <c r="D91">
        <f t="shared" si="10"/>
        <v>0</v>
      </c>
      <c r="E91">
        <f t="shared" si="11"/>
        <v>20</v>
      </c>
      <c r="F91">
        <f t="shared" si="12"/>
        <v>660</v>
      </c>
      <c r="G91">
        <f t="shared" si="13"/>
        <v>12</v>
      </c>
      <c r="H91">
        <f t="shared" si="14"/>
        <v>0</v>
      </c>
      <c r="I91">
        <f t="shared" si="15"/>
        <v>12</v>
      </c>
      <c r="J91">
        <f t="shared" si="16"/>
        <v>0</v>
      </c>
      <c r="K91">
        <f t="shared" si="17"/>
        <v>0</v>
      </c>
      <c r="L91">
        <f t="shared" si="18"/>
        <v>0</v>
      </c>
      <c r="M91">
        <f t="shared" si="19"/>
        <v>0</v>
      </c>
    </row>
    <row r="92" spans="1:13" x14ac:dyDescent="0.25">
      <c r="A92" t="str">
        <f>MTO_RAW!A92</f>
        <v>PG200*20-660*12</v>
      </c>
      <c r="B92">
        <f>MTO_RAW!C92</f>
        <v>1</v>
      </c>
      <c r="C92">
        <f>MTO_RAW!D92</f>
        <v>10000</v>
      </c>
      <c r="D92">
        <f t="shared" si="10"/>
        <v>0</v>
      </c>
      <c r="E92">
        <f t="shared" si="11"/>
        <v>20</v>
      </c>
      <c r="F92">
        <f t="shared" si="12"/>
        <v>660</v>
      </c>
      <c r="G92">
        <f t="shared" si="13"/>
        <v>12</v>
      </c>
      <c r="H92">
        <f t="shared" si="14"/>
        <v>0</v>
      </c>
      <c r="I92">
        <f t="shared" si="15"/>
        <v>12</v>
      </c>
      <c r="J92">
        <f t="shared" si="16"/>
        <v>0</v>
      </c>
      <c r="K92">
        <f t="shared" si="17"/>
        <v>0</v>
      </c>
      <c r="L92">
        <f t="shared" si="18"/>
        <v>0</v>
      </c>
      <c r="M92">
        <f t="shared" si="19"/>
        <v>0</v>
      </c>
    </row>
    <row r="93" spans="1:13" x14ac:dyDescent="0.25">
      <c r="A93" t="str">
        <f>MTO_RAW!A93</f>
        <v>PG200*20-660*12</v>
      </c>
      <c r="B93">
        <f>MTO_RAW!C93</f>
        <v>2</v>
      </c>
      <c r="C93">
        <f>MTO_RAW!D93</f>
        <v>11000</v>
      </c>
      <c r="D93">
        <f t="shared" si="10"/>
        <v>0</v>
      </c>
      <c r="E93">
        <f t="shared" si="11"/>
        <v>20</v>
      </c>
      <c r="F93">
        <f t="shared" si="12"/>
        <v>660</v>
      </c>
      <c r="G93">
        <f t="shared" si="13"/>
        <v>12</v>
      </c>
      <c r="H93">
        <f t="shared" si="14"/>
        <v>0</v>
      </c>
      <c r="I93">
        <f t="shared" si="15"/>
        <v>12</v>
      </c>
      <c r="J93">
        <f t="shared" si="16"/>
        <v>0</v>
      </c>
      <c r="K93">
        <f t="shared" si="17"/>
        <v>0</v>
      </c>
      <c r="L93">
        <f t="shared" si="18"/>
        <v>0</v>
      </c>
      <c r="M93">
        <f t="shared" si="19"/>
        <v>0</v>
      </c>
    </row>
    <row r="94" spans="1:13" x14ac:dyDescent="0.25">
      <c r="A94" t="str">
        <f>MTO_RAW!A94</f>
        <v>PG250*16-468*10</v>
      </c>
      <c r="B94">
        <f>MTO_RAW!C94</f>
        <v>15</v>
      </c>
      <c r="C94">
        <f>MTO_RAW!D94</f>
        <v>8000</v>
      </c>
      <c r="D94">
        <f t="shared" si="10"/>
        <v>0</v>
      </c>
      <c r="E94">
        <f t="shared" si="11"/>
        <v>16</v>
      </c>
      <c r="F94">
        <f t="shared" si="12"/>
        <v>468</v>
      </c>
      <c r="G94">
        <f t="shared" si="13"/>
        <v>10</v>
      </c>
      <c r="H94">
        <f t="shared" si="14"/>
        <v>0</v>
      </c>
      <c r="I94">
        <f t="shared" si="15"/>
        <v>10</v>
      </c>
      <c r="J94">
        <f t="shared" si="16"/>
        <v>0</v>
      </c>
      <c r="K94">
        <f t="shared" si="17"/>
        <v>0</v>
      </c>
      <c r="L94">
        <f t="shared" si="18"/>
        <v>0</v>
      </c>
      <c r="M94">
        <f t="shared" si="19"/>
        <v>0</v>
      </c>
    </row>
    <row r="95" spans="1:13" x14ac:dyDescent="0.25">
      <c r="A95" t="str">
        <f>MTO_RAW!A95</f>
        <v>PG250*20-360*12</v>
      </c>
      <c r="B95">
        <f>MTO_RAW!C95</f>
        <v>2</v>
      </c>
      <c r="C95">
        <f>MTO_RAW!D95</f>
        <v>2150</v>
      </c>
      <c r="D95">
        <f t="shared" si="10"/>
        <v>0</v>
      </c>
      <c r="E95">
        <f t="shared" si="11"/>
        <v>20</v>
      </c>
      <c r="F95">
        <f t="shared" si="12"/>
        <v>360</v>
      </c>
      <c r="G95">
        <f t="shared" si="13"/>
        <v>12</v>
      </c>
      <c r="H95">
        <f t="shared" si="14"/>
        <v>0</v>
      </c>
      <c r="I95">
        <f t="shared" si="15"/>
        <v>12</v>
      </c>
      <c r="J95">
        <f t="shared" si="16"/>
        <v>0</v>
      </c>
      <c r="K95">
        <f t="shared" si="17"/>
        <v>0</v>
      </c>
      <c r="L95">
        <f t="shared" si="18"/>
        <v>0</v>
      </c>
      <c r="M95">
        <f t="shared" si="19"/>
        <v>0</v>
      </c>
    </row>
    <row r="96" spans="1:13" x14ac:dyDescent="0.25">
      <c r="A96" t="str">
        <f>MTO_RAW!A96</f>
        <v>PG250*20-360*12</v>
      </c>
      <c r="B96">
        <f>MTO_RAW!C96</f>
        <v>4</v>
      </c>
      <c r="C96">
        <f>MTO_RAW!D96</f>
        <v>3490</v>
      </c>
      <c r="D96">
        <f t="shared" si="10"/>
        <v>0</v>
      </c>
      <c r="E96">
        <f t="shared" si="11"/>
        <v>20</v>
      </c>
      <c r="F96">
        <f t="shared" si="12"/>
        <v>360</v>
      </c>
      <c r="G96">
        <f t="shared" si="13"/>
        <v>12</v>
      </c>
      <c r="H96">
        <f t="shared" si="14"/>
        <v>0</v>
      </c>
      <c r="I96">
        <f t="shared" si="15"/>
        <v>12</v>
      </c>
      <c r="J96">
        <f t="shared" si="16"/>
        <v>0</v>
      </c>
      <c r="K96">
        <f t="shared" si="17"/>
        <v>0</v>
      </c>
      <c r="L96">
        <f t="shared" si="18"/>
        <v>0</v>
      </c>
      <c r="M96">
        <f t="shared" si="19"/>
        <v>0</v>
      </c>
    </row>
    <row r="97" spans="1:13" x14ac:dyDescent="0.25">
      <c r="A97" t="str">
        <f>MTO_RAW!A97</f>
        <v>PG250*20-360*12</v>
      </c>
      <c r="B97">
        <f>MTO_RAW!C97</f>
        <v>2</v>
      </c>
      <c r="C97">
        <f>MTO_RAW!D97</f>
        <v>5000</v>
      </c>
      <c r="D97">
        <f t="shared" si="10"/>
        <v>0</v>
      </c>
      <c r="E97">
        <f t="shared" si="11"/>
        <v>20</v>
      </c>
      <c r="F97">
        <f t="shared" si="12"/>
        <v>360</v>
      </c>
      <c r="G97">
        <f t="shared" si="13"/>
        <v>12</v>
      </c>
      <c r="H97">
        <f t="shared" si="14"/>
        <v>0</v>
      </c>
      <c r="I97">
        <f t="shared" si="15"/>
        <v>12</v>
      </c>
      <c r="J97">
        <f t="shared" si="16"/>
        <v>0</v>
      </c>
      <c r="K97">
        <f t="shared" si="17"/>
        <v>0</v>
      </c>
      <c r="L97">
        <f t="shared" si="18"/>
        <v>0</v>
      </c>
      <c r="M97">
        <f t="shared" si="19"/>
        <v>0</v>
      </c>
    </row>
    <row r="98" spans="1:13" x14ac:dyDescent="0.25">
      <c r="A98" t="str">
        <f>MTO_RAW!A98</f>
        <v>PG250*20-360*12</v>
      </c>
      <c r="B98">
        <f>MTO_RAW!C98</f>
        <v>2</v>
      </c>
      <c r="C98">
        <f>MTO_RAW!D98</f>
        <v>6454</v>
      </c>
      <c r="D98">
        <f t="shared" si="10"/>
        <v>0</v>
      </c>
      <c r="E98">
        <f t="shared" si="11"/>
        <v>20</v>
      </c>
      <c r="F98">
        <f t="shared" si="12"/>
        <v>360</v>
      </c>
      <c r="G98">
        <f t="shared" si="13"/>
        <v>12</v>
      </c>
      <c r="H98">
        <f t="shared" si="14"/>
        <v>0</v>
      </c>
      <c r="I98">
        <f t="shared" si="15"/>
        <v>12</v>
      </c>
      <c r="J98">
        <f t="shared" si="16"/>
        <v>0</v>
      </c>
      <c r="K98">
        <f t="shared" si="17"/>
        <v>0</v>
      </c>
      <c r="L98">
        <f t="shared" si="18"/>
        <v>0</v>
      </c>
      <c r="M98">
        <f t="shared" si="19"/>
        <v>0</v>
      </c>
    </row>
    <row r="99" spans="1:13" x14ac:dyDescent="0.25">
      <c r="A99" t="str">
        <f>MTO_RAW!A99</f>
        <v>PG250*20-360*12</v>
      </c>
      <c r="B99">
        <f>MTO_RAW!C99</f>
        <v>7</v>
      </c>
      <c r="C99">
        <f>MTO_RAW!D99</f>
        <v>8000</v>
      </c>
      <c r="D99">
        <f t="shared" si="10"/>
        <v>0</v>
      </c>
      <c r="E99">
        <f t="shared" si="11"/>
        <v>20</v>
      </c>
      <c r="F99">
        <f t="shared" si="12"/>
        <v>360</v>
      </c>
      <c r="G99">
        <f t="shared" si="13"/>
        <v>12</v>
      </c>
      <c r="H99">
        <f t="shared" si="14"/>
        <v>0</v>
      </c>
      <c r="I99">
        <f t="shared" si="15"/>
        <v>12</v>
      </c>
      <c r="J99">
        <f t="shared" si="16"/>
        <v>0</v>
      </c>
      <c r="K99">
        <f t="shared" si="17"/>
        <v>0</v>
      </c>
      <c r="L99">
        <f t="shared" si="18"/>
        <v>0</v>
      </c>
      <c r="M99">
        <f t="shared" si="19"/>
        <v>0</v>
      </c>
    </row>
    <row r="100" spans="1:13" x14ac:dyDescent="0.25">
      <c r="A100" t="str">
        <f>MTO_RAW!A100</f>
        <v>PG250*20-460*10</v>
      </c>
      <c r="B100">
        <f>MTO_RAW!C100</f>
        <v>1</v>
      </c>
      <c r="C100">
        <f>MTO_RAW!D100</f>
        <v>8000</v>
      </c>
      <c r="D100">
        <f t="shared" si="10"/>
        <v>0</v>
      </c>
      <c r="E100">
        <f t="shared" si="11"/>
        <v>20</v>
      </c>
      <c r="F100">
        <f t="shared" si="12"/>
        <v>460</v>
      </c>
      <c r="G100">
        <f t="shared" si="13"/>
        <v>10</v>
      </c>
      <c r="H100">
        <f t="shared" si="14"/>
        <v>0</v>
      </c>
      <c r="I100">
        <f t="shared" si="15"/>
        <v>10</v>
      </c>
      <c r="J100">
        <f t="shared" si="16"/>
        <v>0</v>
      </c>
      <c r="K100">
        <f t="shared" si="17"/>
        <v>0</v>
      </c>
      <c r="L100">
        <f t="shared" si="18"/>
        <v>0</v>
      </c>
      <c r="M100">
        <f t="shared" si="19"/>
        <v>0</v>
      </c>
    </row>
    <row r="101" spans="1:13" x14ac:dyDescent="0.25">
      <c r="A101" t="str">
        <f>MTO_RAW!A101</f>
        <v>PG250*20-460*12</v>
      </c>
      <c r="B101">
        <f>MTO_RAW!C101</f>
        <v>2</v>
      </c>
      <c r="C101">
        <f>MTO_RAW!D101</f>
        <v>4958</v>
      </c>
      <c r="D101">
        <f t="shared" si="10"/>
        <v>0</v>
      </c>
      <c r="E101">
        <f t="shared" si="11"/>
        <v>20</v>
      </c>
      <c r="F101">
        <f t="shared" si="12"/>
        <v>460</v>
      </c>
      <c r="G101">
        <f t="shared" si="13"/>
        <v>12</v>
      </c>
      <c r="H101">
        <f t="shared" si="14"/>
        <v>0</v>
      </c>
      <c r="I101">
        <f t="shared" si="15"/>
        <v>12</v>
      </c>
      <c r="J101">
        <f t="shared" si="16"/>
        <v>0</v>
      </c>
      <c r="K101">
        <f t="shared" si="17"/>
        <v>0</v>
      </c>
      <c r="L101">
        <f t="shared" si="18"/>
        <v>0</v>
      </c>
      <c r="M101">
        <f t="shared" si="19"/>
        <v>0</v>
      </c>
    </row>
    <row r="102" spans="1:13" x14ac:dyDescent="0.25">
      <c r="A102" t="str">
        <f>MTO_RAW!A102</f>
        <v>PG250*20-460*12</v>
      </c>
      <c r="B102">
        <f>MTO_RAW!C102</f>
        <v>1</v>
      </c>
      <c r="C102">
        <f>MTO_RAW!D102</f>
        <v>5000</v>
      </c>
      <c r="D102">
        <f t="shared" si="10"/>
        <v>0</v>
      </c>
      <c r="E102">
        <f t="shared" si="11"/>
        <v>20</v>
      </c>
      <c r="F102">
        <f t="shared" si="12"/>
        <v>460</v>
      </c>
      <c r="G102">
        <f t="shared" si="13"/>
        <v>12</v>
      </c>
      <c r="H102">
        <f t="shared" si="14"/>
        <v>0</v>
      </c>
      <c r="I102">
        <f t="shared" si="15"/>
        <v>12</v>
      </c>
      <c r="J102">
        <f t="shared" si="16"/>
        <v>0</v>
      </c>
      <c r="K102">
        <f t="shared" si="17"/>
        <v>0</v>
      </c>
      <c r="L102">
        <f t="shared" si="18"/>
        <v>0</v>
      </c>
      <c r="M102">
        <f t="shared" si="19"/>
        <v>0</v>
      </c>
    </row>
    <row r="103" spans="1:13" x14ac:dyDescent="0.25">
      <c r="A103" t="str">
        <f>MTO_RAW!A103</f>
        <v>PG250*20-460*12</v>
      </c>
      <c r="B103">
        <f>MTO_RAW!C103</f>
        <v>1</v>
      </c>
      <c r="C103">
        <f>MTO_RAW!D103</f>
        <v>7954</v>
      </c>
      <c r="D103">
        <f t="shared" si="10"/>
        <v>0</v>
      </c>
      <c r="E103">
        <f t="shared" si="11"/>
        <v>20</v>
      </c>
      <c r="F103">
        <f t="shared" si="12"/>
        <v>460</v>
      </c>
      <c r="G103">
        <f t="shared" si="13"/>
        <v>12</v>
      </c>
      <c r="H103">
        <f t="shared" si="14"/>
        <v>0</v>
      </c>
      <c r="I103">
        <f t="shared" si="15"/>
        <v>12</v>
      </c>
      <c r="J103">
        <f t="shared" si="16"/>
        <v>0</v>
      </c>
      <c r="K103">
        <f t="shared" si="17"/>
        <v>0</v>
      </c>
      <c r="L103">
        <f t="shared" si="18"/>
        <v>0</v>
      </c>
      <c r="M103">
        <f t="shared" si="19"/>
        <v>0</v>
      </c>
    </row>
    <row r="104" spans="1:13" x14ac:dyDescent="0.25">
      <c r="A104" t="str">
        <f>MTO_RAW!A104</f>
        <v>PG250*20-460*12</v>
      </c>
      <c r="B104">
        <f>MTO_RAW!C104</f>
        <v>3</v>
      </c>
      <c r="C104">
        <f>MTO_RAW!D104</f>
        <v>8000</v>
      </c>
      <c r="D104">
        <f t="shared" si="10"/>
        <v>0</v>
      </c>
      <c r="E104">
        <f t="shared" si="11"/>
        <v>20</v>
      </c>
      <c r="F104">
        <f t="shared" si="12"/>
        <v>460</v>
      </c>
      <c r="G104">
        <f t="shared" si="13"/>
        <v>12</v>
      </c>
      <c r="H104">
        <f t="shared" si="14"/>
        <v>0</v>
      </c>
      <c r="I104">
        <f t="shared" si="15"/>
        <v>12</v>
      </c>
      <c r="J104">
        <f t="shared" si="16"/>
        <v>0</v>
      </c>
      <c r="K104">
        <f t="shared" si="17"/>
        <v>0</v>
      </c>
      <c r="L104">
        <f t="shared" si="18"/>
        <v>0</v>
      </c>
      <c r="M104">
        <f t="shared" si="19"/>
        <v>0</v>
      </c>
    </row>
    <row r="105" spans="1:13" x14ac:dyDescent="0.25">
      <c r="A105" t="str">
        <f>MTO_RAW!A105</f>
        <v>PG250*20-560*10</v>
      </c>
      <c r="B105">
        <f>MTO_RAW!C105</f>
        <v>1</v>
      </c>
      <c r="C105">
        <f>MTO_RAW!D105</f>
        <v>8000</v>
      </c>
      <c r="D105">
        <f t="shared" si="10"/>
        <v>0</v>
      </c>
      <c r="E105">
        <f t="shared" si="11"/>
        <v>20</v>
      </c>
      <c r="F105">
        <f t="shared" si="12"/>
        <v>560</v>
      </c>
      <c r="G105">
        <f t="shared" si="13"/>
        <v>10</v>
      </c>
      <c r="H105">
        <f t="shared" si="14"/>
        <v>0</v>
      </c>
      <c r="I105">
        <f t="shared" si="15"/>
        <v>10</v>
      </c>
      <c r="J105">
        <f t="shared" si="16"/>
        <v>0</v>
      </c>
      <c r="K105">
        <f t="shared" si="17"/>
        <v>0</v>
      </c>
      <c r="L105">
        <f t="shared" si="18"/>
        <v>0</v>
      </c>
      <c r="M105">
        <f t="shared" si="19"/>
        <v>0</v>
      </c>
    </row>
    <row r="106" spans="1:13" x14ac:dyDescent="0.25">
      <c r="A106" t="str">
        <f>MTO_RAW!A106</f>
        <v>PG250*25-550*12</v>
      </c>
      <c r="B106">
        <f>MTO_RAW!C106</f>
        <v>2</v>
      </c>
      <c r="C106">
        <f>MTO_RAW!D106</f>
        <v>11000</v>
      </c>
      <c r="D106">
        <f t="shared" si="10"/>
        <v>0</v>
      </c>
      <c r="E106">
        <f t="shared" si="11"/>
        <v>25</v>
      </c>
      <c r="F106">
        <f t="shared" si="12"/>
        <v>550</v>
      </c>
      <c r="G106">
        <f t="shared" si="13"/>
        <v>12</v>
      </c>
      <c r="H106">
        <f t="shared" si="14"/>
        <v>0</v>
      </c>
      <c r="I106">
        <f t="shared" si="15"/>
        <v>12</v>
      </c>
      <c r="J106">
        <f t="shared" si="16"/>
        <v>0</v>
      </c>
      <c r="K106">
        <f t="shared" si="17"/>
        <v>0</v>
      </c>
      <c r="L106">
        <f t="shared" si="18"/>
        <v>0</v>
      </c>
      <c r="M106">
        <f t="shared" si="19"/>
        <v>0</v>
      </c>
    </row>
    <row r="107" spans="1:13" x14ac:dyDescent="0.25">
      <c r="A107" t="str">
        <f>MTO_RAW!A107</f>
        <v>PG300*20-360*12</v>
      </c>
      <c r="B107">
        <f>MTO_RAW!C107</f>
        <v>2</v>
      </c>
      <c r="C107">
        <f>MTO_RAW!D107</f>
        <v>5358</v>
      </c>
      <c r="D107">
        <f t="shared" si="10"/>
        <v>0</v>
      </c>
      <c r="E107">
        <f t="shared" si="11"/>
        <v>20</v>
      </c>
      <c r="F107">
        <f t="shared" si="12"/>
        <v>360</v>
      </c>
      <c r="G107">
        <f t="shared" si="13"/>
        <v>12</v>
      </c>
      <c r="H107">
        <f t="shared" si="14"/>
        <v>0</v>
      </c>
      <c r="I107">
        <f t="shared" si="15"/>
        <v>12</v>
      </c>
      <c r="J107">
        <f t="shared" si="16"/>
        <v>0</v>
      </c>
      <c r="K107">
        <f t="shared" si="17"/>
        <v>0</v>
      </c>
      <c r="L107">
        <f t="shared" si="18"/>
        <v>0</v>
      </c>
      <c r="M107">
        <f t="shared" si="19"/>
        <v>0</v>
      </c>
    </row>
    <row r="108" spans="1:13" x14ac:dyDescent="0.25">
      <c r="A108" t="str">
        <f>MTO_RAW!A108</f>
        <v>PG300*20-360*12</v>
      </c>
      <c r="B108">
        <f>MTO_RAW!C108</f>
        <v>1</v>
      </c>
      <c r="C108">
        <f>MTO_RAW!D108</f>
        <v>8000</v>
      </c>
      <c r="D108">
        <f t="shared" si="10"/>
        <v>0</v>
      </c>
      <c r="E108">
        <f t="shared" si="11"/>
        <v>20</v>
      </c>
      <c r="F108">
        <f t="shared" si="12"/>
        <v>360</v>
      </c>
      <c r="G108">
        <f t="shared" si="13"/>
        <v>12</v>
      </c>
      <c r="H108">
        <f t="shared" si="14"/>
        <v>0</v>
      </c>
      <c r="I108">
        <f t="shared" si="15"/>
        <v>12</v>
      </c>
      <c r="J108">
        <f t="shared" si="16"/>
        <v>0</v>
      </c>
      <c r="K108">
        <f t="shared" si="17"/>
        <v>0</v>
      </c>
      <c r="L108">
        <f t="shared" si="18"/>
        <v>0</v>
      </c>
      <c r="M108">
        <f t="shared" si="19"/>
        <v>0</v>
      </c>
    </row>
    <row r="109" spans="1:13" x14ac:dyDescent="0.25">
      <c r="A109" t="str">
        <f>MTO_RAW!A109</f>
        <v>PG300*20-460*12</v>
      </c>
      <c r="B109">
        <f>MTO_RAW!C109</f>
        <v>2</v>
      </c>
      <c r="C109">
        <f>MTO_RAW!D109</f>
        <v>8000</v>
      </c>
      <c r="D109">
        <f t="shared" si="10"/>
        <v>0</v>
      </c>
      <c r="E109">
        <f t="shared" si="11"/>
        <v>20</v>
      </c>
      <c r="F109">
        <f t="shared" si="12"/>
        <v>460</v>
      </c>
      <c r="G109">
        <f t="shared" si="13"/>
        <v>12</v>
      </c>
      <c r="H109">
        <f t="shared" si="14"/>
        <v>0</v>
      </c>
      <c r="I109">
        <f t="shared" si="15"/>
        <v>12</v>
      </c>
      <c r="J109">
        <f t="shared" si="16"/>
        <v>0</v>
      </c>
      <c r="K109">
        <f t="shared" si="17"/>
        <v>0</v>
      </c>
      <c r="L109">
        <f t="shared" si="18"/>
        <v>0</v>
      </c>
      <c r="M109">
        <f t="shared" si="19"/>
        <v>0</v>
      </c>
    </row>
    <row r="110" spans="1:13" x14ac:dyDescent="0.25">
      <c r="A110" t="str">
        <f>MTO_RAW!A110</f>
        <v>PG350*20-460*12</v>
      </c>
      <c r="B110">
        <f>MTO_RAW!C110</f>
        <v>5</v>
      </c>
      <c r="C110">
        <f>MTO_RAW!D110</f>
        <v>7954</v>
      </c>
      <c r="D110">
        <f t="shared" si="10"/>
        <v>0</v>
      </c>
      <c r="E110">
        <f t="shared" si="11"/>
        <v>20</v>
      </c>
      <c r="F110">
        <f t="shared" si="12"/>
        <v>460</v>
      </c>
      <c r="G110">
        <f t="shared" si="13"/>
        <v>12</v>
      </c>
      <c r="H110">
        <f t="shared" si="14"/>
        <v>0</v>
      </c>
      <c r="I110">
        <f t="shared" si="15"/>
        <v>12</v>
      </c>
      <c r="J110">
        <f t="shared" si="16"/>
        <v>0</v>
      </c>
      <c r="K110">
        <f t="shared" si="17"/>
        <v>0</v>
      </c>
      <c r="L110">
        <f t="shared" si="18"/>
        <v>0</v>
      </c>
      <c r="M110">
        <f t="shared" si="19"/>
        <v>0</v>
      </c>
    </row>
    <row r="111" spans="1:13" x14ac:dyDescent="0.25">
      <c r="A111" t="str">
        <f>MTO_RAW!A111</f>
        <v>PG350*20-660*12</v>
      </c>
      <c r="B111">
        <f>MTO_RAW!C111</f>
        <v>8</v>
      </c>
      <c r="C111">
        <f>MTO_RAW!D111</f>
        <v>8000</v>
      </c>
      <c r="D111">
        <f t="shared" si="10"/>
        <v>0</v>
      </c>
      <c r="E111">
        <f t="shared" si="11"/>
        <v>20</v>
      </c>
      <c r="F111">
        <f t="shared" si="12"/>
        <v>660</v>
      </c>
      <c r="G111">
        <f t="shared" si="13"/>
        <v>12</v>
      </c>
      <c r="H111">
        <f t="shared" si="14"/>
        <v>0</v>
      </c>
      <c r="I111">
        <f t="shared" si="15"/>
        <v>12</v>
      </c>
      <c r="J111">
        <f t="shared" si="16"/>
        <v>0</v>
      </c>
      <c r="K111">
        <f t="shared" si="17"/>
        <v>0</v>
      </c>
      <c r="L111">
        <f t="shared" si="18"/>
        <v>0</v>
      </c>
      <c r="M111">
        <f t="shared" si="19"/>
        <v>0</v>
      </c>
    </row>
    <row r="112" spans="1:13" x14ac:dyDescent="0.25">
      <c r="A112" t="str">
        <f>MTO_RAW!A112</f>
        <v>PG350*25-450*16</v>
      </c>
      <c r="B112">
        <f>MTO_RAW!C112</f>
        <v>1</v>
      </c>
      <c r="C112">
        <f>MTO_RAW!D112</f>
        <v>7954</v>
      </c>
      <c r="D112">
        <f t="shared" si="10"/>
        <v>0</v>
      </c>
      <c r="E112">
        <f t="shared" si="11"/>
        <v>25</v>
      </c>
      <c r="F112">
        <f t="shared" si="12"/>
        <v>450</v>
      </c>
      <c r="G112">
        <f t="shared" si="13"/>
        <v>16</v>
      </c>
      <c r="H112">
        <f t="shared" si="14"/>
        <v>0</v>
      </c>
      <c r="I112">
        <f t="shared" si="15"/>
        <v>16</v>
      </c>
      <c r="J112">
        <f t="shared" si="16"/>
        <v>449.56008000000003</v>
      </c>
      <c r="K112">
        <f t="shared" si="17"/>
        <v>0</v>
      </c>
      <c r="L112">
        <f t="shared" si="18"/>
        <v>0</v>
      </c>
      <c r="M112">
        <f t="shared" si="19"/>
        <v>0</v>
      </c>
    </row>
    <row r="113" spans="1:13" x14ac:dyDescent="0.25">
      <c r="A113" t="str">
        <f>MTO_RAW!A113</f>
        <v>PG350*25-450*16</v>
      </c>
      <c r="B113">
        <f>MTO_RAW!C113</f>
        <v>2</v>
      </c>
      <c r="C113">
        <f>MTO_RAW!D113</f>
        <v>8000</v>
      </c>
      <c r="D113">
        <f t="shared" si="10"/>
        <v>0</v>
      </c>
      <c r="E113">
        <f t="shared" si="11"/>
        <v>25</v>
      </c>
      <c r="F113">
        <f t="shared" si="12"/>
        <v>450</v>
      </c>
      <c r="G113">
        <f t="shared" si="13"/>
        <v>16</v>
      </c>
      <c r="H113">
        <f t="shared" si="14"/>
        <v>0</v>
      </c>
      <c r="I113">
        <f t="shared" si="15"/>
        <v>16</v>
      </c>
      <c r="J113">
        <f t="shared" si="16"/>
        <v>904.32</v>
      </c>
      <c r="K113">
        <f t="shared" si="17"/>
        <v>0</v>
      </c>
      <c r="L113">
        <f t="shared" si="18"/>
        <v>0</v>
      </c>
      <c r="M113">
        <f t="shared" si="19"/>
        <v>0</v>
      </c>
    </row>
    <row r="114" spans="1:13" x14ac:dyDescent="0.25">
      <c r="A114" t="str">
        <f>MTO_RAW!A114</f>
        <v>PG350*25-450*16</v>
      </c>
      <c r="B114">
        <f>MTO_RAW!C114</f>
        <v>2</v>
      </c>
      <c r="C114">
        <f>MTO_RAW!D114</f>
        <v>11000</v>
      </c>
      <c r="D114">
        <f t="shared" si="10"/>
        <v>0</v>
      </c>
      <c r="E114">
        <f t="shared" si="11"/>
        <v>25</v>
      </c>
      <c r="F114">
        <f t="shared" si="12"/>
        <v>450</v>
      </c>
      <c r="G114">
        <f t="shared" si="13"/>
        <v>16</v>
      </c>
      <c r="H114">
        <f t="shared" si="14"/>
        <v>0</v>
      </c>
      <c r="I114">
        <f t="shared" si="15"/>
        <v>16</v>
      </c>
      <c r="J114">
        <f t="shared" si="16"/>
        <v>1243.44</v>
      </c>
      <c r="K114">
        <f t="shared" si="17"/>
        <v>0</v>
      </c>
      <c r="L114">
        <f t="shared" si="18"/>
        <v>0</v>
      </c>
      <c r="M114">
        <f t="shared" si="19"/>
        <v>0</v>
      </c>
    </row>
    <row r="115" spans="1:13" x14ac:dyDescent="0.25">
      <c r="A115" t="str">
        <f>MTO_RAW!A115</f>
        <v>PG350*25-550*16</v>
      </c>
      <c r="B115">
        <f>MTO_RAW!C115</f>
        <v>2</v>
      </c>
      <c r="C115">
        <f>MTO_RAW!D115</f>
        <v>9000</v>
      </c>
      <c r="D115">
        <f t="shared" si="10"/>
        <v>0</v>
      </c>
      <c r="E115">
        <f t="shared" si="11"/>
        <v>25</v>
      </c>
      <c r="F115">
        <f t="shared" si="12"/>
        <v>550</v>
      </c>
      <c r="G115">
        <f t="shared" si="13"/>
        <v>16</v>
      </c>
      <c r="H115">
        <f t="shared" si="14"/>
        <v>0</v>
      </c>
      <c r="I115">
        <f t="shared" si="15"/>
        <v>16</v>
      </c>
      <c r="J115">
        <f t="shared" si="16"/>
        <v>1243.44</v>
      </c>
      <c r="K115">
        <f t="shared" si="17"/>
        <v>0</v>
      </c>
      <c r="L115">
        <f t="shared" si="18"/>
        <v>0</v>
      </c>
      <c r="M115">
        <f t="shared" si="19"/>
        <v>0</v>
      </c>
    </row>
    <row r="116" spans="1:13" x14ac:dyDescent="0.25">
      <c r="A116" t="str">
        <f>MTO_RAW!A116</f>
        <v>PG350*25-550*16</v>
      </c>
      <c r="B116">
        <f>MTO_RAW!C116</f>
        <v>1</v>
      </c>
      <c r="C116">
        <f>MTO_RAW!D116</f>
        <v>11000</v>
      </c>
      <c r="D116">
        <f t="shared" si="10"/>
        <v>0</v>
      </c>
      <c r="E116">
        <f t="shared" si="11"/>
        <v>25</v>
      </c>
      <c r="F116">
        <f t="shared" si="12"/>
        <v>550</v>
      </c>
      <c r="G116">
        <f t="shared" si="13"/>
        <v>16</v>
      </c>
      <c r="H116">
        <f t="shared" si="14"/>
        <v>0</v>
      </c>
      <c r="I116">
        <f t="shared" si="15"/>
        <v>16</v>
      </c>
      <c r="J116">
        <f t="shared" si="16"/>
        <v>759.88000000000011</v>
      </c>
      <c r="K116">
        <f t="shared" si="17"/>
        <v>0</v>
      </c>
      <c r="L116">
        <f t="shared" si="18"/>
        <v>0</v>
      </c>
      <c r="M116">
        <f t="shared" si="19"/>
        <v>0</v>
      </c>
    </row>
    <row r="117" spans="1:13" x14ac:dyDescent="0.25">
      <c r="A117" t="str">
        <f>MTO_RAW!A117</f>
        <v>PG350*25-650*16</v>
      </c>
      <c r="B117">
        <f>MTO_RAW!C117</f>
        <v>2</v>
      </c>
      <c r="C117">
        <f>MTO_RAW!D117</f>
        <v>5000</v>
      </c>
      <c r="D117">
        <f t="shared" si="10"/>
        <v>0</v>
      </c>
      <c r="E117">
        <f t="shared" si="11"/>
        <v>25</v>
      </c>
      <c r="F117">
        <f t="shared" si="12"/>
        <v>650</v>
      </c>
      <c r="G117">
        <f t="shared" si="13"/>
        <v>16</v>
      </c>
      <c r="H117">
        <f t="shared" si="14"/>
        <v>0</v>
      </c>
      <c r="I117">
        <f t="shared" si="15"/>
        <v>16</v>
      </c>
      <c r="J117">
        <f t="shared" si="16"/>
        <v>816.40000000000009</v>
      </c>
      <c r="K117">
        <f t="shared" si="17"/>
        <v>0</v>
      </c>
      <c r="L117">
        <f t="shared" si="18"/>
        <v>0</v>
      </c>
      <c r="M117">
        <f t="shared" si="19"/>
        <v>0</v>
      </c>
    </row>
    <row r="118" spans="1:13" x14ac:dyDescent="0.25">
      <c r="A118" t="str">
        <f>MTO_RAW!A118</f>
        <v>PG350*25-650*16</v>
      </c>
      <c r="B118">
        <f>MTO_RAW!C118</f>
        <v>1</v>
      </c>
      <c r="C118">
        <f>MTO_RAW!D118</f>
        <v>8000</v>
      </c>
      <c r="D118">
        <f t="shared" si="10"/>
        <v>0</v>
      </c>
      <c r="E118">
        <f t="shared" si="11"/>
        <v>25</v>
      </c>
      <c r="F118">
        <f t="shared" si="12"/>
        <v>650</v>
      </c>
      <c r="G118">
        <f t="shared" si="13"/>
        <v>16</v>
      </c>
      <c r="H118">
        <f t="shared" si="14"/>
        <v>0</v>
      </c>
      <c r="I118">
        <f t="shared" si="15"/>
        <v>16</v>
      </c>
      <c r="J118">
        <f t="shared" si="16"/>
        <v>653.12000000000012</v>
      </c>
      <c r="K118">
        <f t="shared" si="17"/>
        <v>0</v>
      </c>
      <c r="L118">
        <f t="shared" si="18"/>
        <v>0</v>
      </c>
      <c r="M118">
        <f t="shared" si="19"/>
        <v>0</v>
      </c>
    </row>
    <row r="119" spans="1:13" x14ac:dyDescent="0.25">
      <c r="A119" t="str">
        <f>MTO_RAW!A119</f>
        <v>PG350*25-750*12</v>
      </c>
      <c r="B119">
        <f>MTO_RAW!C119</f>
        <v>1</v>
      </c>
      <c r="C119">
        <f>MTO_RAW!D119</f>
        <v>8000</v>
      </c>
      <c r="D119">
        <f t="shared" si="10"/>
        <v>0</v>
      </c>
      <c r="E119">
        <f t="shared" si="11"/>
        <v>25</v>
      </c>
      <c r="F119">
        <f t="shared" si="12"/>
        <v>750</v>
      </c>
      <c r="G119">
        <f t="shared" si="13"/>
        <v>12</v>
      </c>
      <c r="H119">
        <f t="shared" si="14"/>
        <v>0</v>
      </c>
      <c r="I119">
        <f t="shared" si="15"/>
        <v>12</v>
      </c>
      <c r="J119">
        <f t="shared" si="16"/>
        <v>0</v>
      </c>
      <c r="K119">
        <f t="shared" si="17"/>
        <v>0</v>
      </c>
      <c r="L119">
        <f t="shared" si="18"/>
        <v>0</v>
      </c>
      <c r="M119">
        <f t="shared" si="19"/>
        <v>0</v>
      </c>
    </row>
    <row r="120" spans="1:13" x14ac:dyDescent="0.25">
      <c r="A120" t="str">
        <f>MTO_RAW!A120</f>
        <v>PG350*32-736*16</v>
      </c>
      <c r="B120">
        <f>MTO_RAW!C120</f>
        <v>1</v>
      </c>
      <c r="C120">
        <f>MTO_RAW!D120</f>
        <v>8000</v>
      </c>
      <c r="D120">
        <f t="shared" si="10"/>
        <v>0</v>
      </c>
      <c r="E120">
        <f t="shared" si="11"/>
        <v>32</v>
      </c>
      <c r="F120">
        <f t="shared" si="12"/>
        <v>736</v>
      </c>
      <c r="G120">
        <f t="shared" si="13"/>
        <v>16</v>
      </c>
      <c r="H120">
        <f t="shared" si="14"/>
        <v>0</v>
      </c>
      <c r="I120">
        <f t="shared" si="15"/>
        <v>16</v>
      </c>
      <c r="J120">
        <f t="shared" si="16"/>
        <v>739.53279999999995</v>
      </c>
      <c r="K120">
        <f t="shared" si="17"/>
        <v>0</v>
      </c>
      <c r="L120">
        <f t="shared" si="18"/>
        <v>0</v>
      </c>
      <c r="M120">
        <f t="shared" si="19"/>
        <v>0</v>
      </c>
    </row>
    <row r="121" spans="1:13" x14ac:dyDescent="0.25">
      <c r="A121" t="str">
        <f>MTO_RAW!A121</f>
        <v>PG400*32-736*16-350*32</v>
      </c>
      <c r="B121">
        <f>MTO_RAW!C121</f>
        <v>2</v>
      </c>
      <c r="C121">
        <f>MTO_RAW!D121</f>
        <v>8000</v>
      </c>
      <c r="D121">
        <f>IFERROR(VALUE(LEFT(A121,FIND("*",A121)-1)),0)</f>
        <v>0</v>
      </c>
      <c r="E121">
        <f t="shared" si="11"/>
        <v>32</v>
      </c>
      <c r="F121">
        <f t="shared" si="12"/>
        <v>736</v>
      </c>
      <c r="G121">
        <f t="shared" si="13"/>
        <v>0</v>
      </c>
      <c r="H121">
        <f t="shared" si="14"/>
        <v>0</v>
      </c>
      <c r="I121">
        <f t="shared" si="15"/>
        <v>32</v>
      </c>
      <c r="J121">
        <f t="shared" si="16"/>
        <v>0</v>
      </c>
      <c r="K121">
        <f t="shared" si="17"/>
        <v>0</v>
      </c>
      <c r="L121">
        <f t="shared" si="18"/>
        <v>0</v>
      </c>
      <c r="M121">
        <f t="shared" si="19"/>
        <v>0</v>
      </c>
    </row>
    <row r="122" spans="1:13" x14ac:dyDescent="0.25">
      <c r="A122" t="str">
        <f>MTO_RAW!A122</f>
        <v>PG400*36-528*20</v>
      </c>
      <c r="B122">
        <f>MTO_RAW!C122</f>
        <v>2</v>
      </c>
      <c r="C122">
        <f>MTO_RAW!D122</f>
        <v>5453</v>
      </c>
      <c r="D122">
        <f t="shared" si="10"/>
        <v>0</v>
      </c>
      <c r="E122">
        <f t="shared" si="11"/>
        <v>36</v>
      </c>
      <c r="F122">
        <f t="shared" si="12"/>
        <v>528</v>
      </c>
      <c r="G122">
        <f t="shared" si="13"/>
        <v>20</v>
      </c>
      <c r="H122">
        <f t="shared" si="14"/>
        <v>0</v>
      </c>
      <c r="I122">
        <f t="shared" si="15"/>
        <v>20</v>
      </c>
      <c r="J122">
        <f t="shared" si="16"/>
        <v>0</v>
      </c>
      <c r="K122">
        <f t="shared" si="17"/>
        <v>904.06377600000019</v>
      </c>
      <c r="L122">
        <f t="shared" si="18"/>
        <v>0</v>
      </c>
      <c r="M122">
        <f t="shared" si="19"/>
        <v>0</v>
      </c>
    </row>
    <row r="123" spans="1:13" x14ac:dyDescent="0.25">
      <c r="A123" t="str">
        <f>MTO_RAW!A123</f>
        <v>PG400*36-2328*20</v>
      </c>
      <c r="B123">
        <f>MTO_RAW!C123</f>
        <v>1</v>
      </c>
      <c r="C123">
        <f>MTO_RAW!D123</f>
        <v>8000</v>
      </c>
      <c r="D123">
        <f t="shared" si="10"/>
        <v>0</v>
      </c>
      <c r="E123">
        <f t="shared" si="11"/>
        <v>36</v>
      </c>
      <c r="F123">
        <f t="shared" si="12"/>
        <v>2328</v>
      </c>
      <c r="G123">
        <f t="shared" si="13"/>
        <v>20</v>
      </c>
      <c r="H123">
        <f t="shared" si="14"/>
        <v>0</v>
      </c>
      <c r="I123">
        <f t="shared" si="15"/>
        <v>20</v>
      </c>
      <c r="J123">
        <f t="shared" si="16"/>
        <v>0</v>
      </c>
      <c r="K123">
        <f t="shared" si="17"/>
        <v>2923.9679999999998</v>
      </c>
      <c r="L123">
        <f t="shared" si="18"/>
        <v>0</v>
      </c>
      <c r="M123">
        <f t="shared" si="19"/>
        <v>0</v>
      </c>
    </row>
    <row r="124" spans="1:13" x14ac:dyDescent="0.25">
      <c r="A124" t="str">
        <f>MTO_RAW!A124</f>
        <v>PG400*36-2328*20</v>
      </c>
      <c r="B124">
        <f>MTO_RAW!C124</f>
        <v>1</v>
      </c>
      <c r="C124">
        <f>MTO_RAW!D124</f>
        <v>10000</v>
      </c>
      <c r="D124">
        <f t="shared" si="10"/>
        <v>0</v>
      </c>
      <c r="E124">
        <f t="shared" si="11"/>
        <v>36</v>
      </c>
      <c r="F124">
        <f t="shared" si="12"/>
        <v>2328</v>
      </c>
      <c r="G124">
        <f t="shared" si="13"/>
        <v>20</v>
      </c>
      <c r="H124">
        <f t="shared" si="14"/>
        <v>0</v>
      </c>
      <c r="I124">
        <f t="shared" si="15"/>
        <v>20</v>
      </c>
      <c r="J124">
        <f t="shared" si="16"/>
        <v>0</v>
      </c>
      <c r="K124">
        <f t="shared" si="17"/>
        <v>3654.9599999999996</v>
      </c>
      <c r="L124">
        <f t="shared" si="18"/>
        <v>0</v>
      </c>
      <c r="M124">
        <f t="shared" si="19"/>
        <v>0</v>
      </c>
    </row>
    <row r="125" spans="1:13" x14ac:dyDescent="0.25">
      <c r="A125" t="str">
        <f>MTO_RAW!A125</f>
        <v>PG400*40-920*20</v>
      </c>
      <c r="B125">
        <f>MTO_RAW!C125</f>
        <v>3</v>
      </c>
      <c r="C125">
        <f>MTO_RAW!D125</f>
        <v>11580</v>
      </c>
      <c r="D125">
        <f t="shared" si="10"/>
        <v>0</v>
      </c>
      <c r="E125">
        <f t="shared" si="11"/>
        <v>40</v>
      </c>
      <c r="F125">
        <f t="shared" si="12"/>
        <v>920</v>
      </c>
      <c r="G125">
        <f t="shared" si="13"/>
        <v>20</v>
      </c>
      <c r="H125">
        <f t="shared" si="14"/>
        <v>0</v>
      </c>
      <c r="I125">
        <f t="shared" si="15"/>
        <v>20</v>
      </c>
      <c r="J125">
        <f t="shared" si="16"/>
        <v>0</v>
      </c>
      <c r="K125">
        <f t="shared" si="17"/>
        <v>5017.8456000000006</v>
      </c>
      <c r="L125">
        <f t="shared" si="18"/>
        <v>0</v>
      </c>
      <c r="M125">
        <f t="shared" si="19"/>
        <v>0</v>
      </c>
    </row>
    <row r="126" spans="1:13" x14ac:dyDescent="0.25">
      <c r="A126" t="str">
        <f>MTO_RAW!A126</f>
        <v>PG450*32-3136*20</v>
      </c>
      <c r="B126">
        <f>MTO_RAW!C126</f>
        <v>2</v>
      </c>
      <c r="C126">
        <f>MTO_RAW!D126</f>
        <v>8000</v>
      </c>
      <c r="D126">
        <f t="shared" si="10"/>
        <v>0</v>
      </c>
      <c r="E126">
        <f t="shared" si="11"/>
        <v>32</v>
      </c>
      <c r="F126">
        <f t="shared" si="12"/>
        <v>3136</v>
      </c>
      <c r="G126">
        <f t="shared" si="13"/>
        <v>20</v>
      </c>
      <c r="H126">
        <f t="shared" si="14"/>
        <v>0</v>
      </c>
      <c r="I126">
        <f t="shared" si="15"/>
        <v>20</v>
      </c>
      <c r="J126">
        <f t="shared" si="16"/>
        <v>0</v>
      </c>
      <c r="K126">
        <f t="shared" si="17"/>
        <v>7877.6319999999996</v>
      </c>
      <c r="L126">
        <f t="shared" si="18"/>
        <v>0</v>
      </c>
      <c r="M126">
        <f t="shared" si="19"/>
        <v>0</v>
      </c>
    </row>
    <row r="127" spans="1:13" x14ac:dyDescent="0.25">
      <c r="A127" t="str">
        <f>MTO_RAW!A127</f>
        <v>PG500*32-2336*20</v>
      </c>
      <c r="B127">
        <f>MTO_RAW!C127</f>
        <v>2</v>
      </c>
      <c r="C127">
        <f>MTO_RAW!D127</f>
        <v>5148</v>
      </c>
      <c r="D127">
        <f t="shared" si="10"/>
        <v>0</v>
      </c>
      <c r="E127">
        <f t="shared" si="11"/>
        <v>32</v>
      </c>
      <c r="F127">
        <f t="shared" si="12"/>
        <v>2336</v>
      </c>
      <c r="G127">
        <f t="shared" si="13"/>
        <v>20</v>
      </c>
      <c r="H127">
        <f t="shared" si="14"/>
        <v>0</v>
      </c>
      <c r="I127">
        <f t="shared" si="15"/>
        <v>20</v>
      </c>
      <c r="J127">
        <f t="shared" si="16"/>
        <v>0</v>
      </c>
      <c r="K127">
        <f t="shared" si="17"/>
        <v>3776.0785919999998</v>
      </c>
      <c r="L127">
        <f t="shared" si="18"/>
        <v>0</v>
      </c>
      <c r="M127">
        <f t="shared" si="19"/>
        <v>0</v>
      </c>
    </row>
    <row r="128" spans="1:13" x14ac:dyDescent="0.25">
      <c r="A128" t="str">
        <f>MTO_RAW!A128</f>
        <v>PG500*32-2336*20</v>
      </c>
      <c r="B128">
        <f>MTO_RAW!C128</f>
        <v>2</v>
      </c>
      <c r="C128">
        <f>MTO_RAW!D128</f>
        <v>5643</v>
      </c>
      <c r="D128">
        <f t="shared" si="10"/>
        <v>0</v>
      </c>
      <c r="E128">
        <f t="shared" si="11"/>
        <v>32</v>
      </c>
      <c r="F128">
        <f t="shared" si="12"/>
        <v>2336</v>
      </c>
      <c r="G128">
        <f t="shared" si="13"/>
        <v>20</v>
      </c>
      <c r="H128">
        <f t="shared" si="14"/>
        <v>0</v>
      </c>
      <c r="I128">
        <f t="shared" si="15"/>
        <v>20</v>
      </c>
      <c r="J128">
        <f t="shared" si="16"/>
        <v>0</v>
      </c>
      <c r="K128">
        <f t="shared" si="17"/>
        <v>4139.1630719999994</v>
      </c>
      <c r="L128">
        <f t="shared" si="18"/>
        <v>0</v>
      </c>
      <c r="M128">
        <f t="shared" si="19"/>
        <v>0</v>
      </c>
    </row>
    <row r="129" spans="1:13" x14ac:dyDescent="0.25">
      <c r="A129" t="str">
        <f>MTO_RAW!A129</f>
        <v>PG500*40-1120*32</v>
      </c>
      <c r="B129">
        <f>MTO_RAW!C129</f>
        <v>2</v>
      </c>
      <c r="C129">
        <f>MTO_RAW!D129</f>
        <v>4990</v>
      </c>
      <c r="D129">
        <f t="shared" si="10"/>
        <v>0</v>
      </c>
      <c r="E129">
        <f t="shared" si="11"/>
        <v>40</v>
      </c>
      <c r="F129">
        <f t="shared" si="12"/>
        <v>1120</v>
      </c>
      <c r="G129">
        <f t="shared" si="13"/>
        <v>32</v>
      </c>
      <c r="H129">
        <f t="shared" si="14"/>
        <v>0</v>
      </c>
      <c r="I129">
        <f t="shared" si="15"/>
        <v>32</v>
      </c>
      <c r="J129">
        <f t="shared" si="16"/>
        <v>0</v>
      </c>
      <c r="K129">
        <f t="shared" si="17"/>
        <v>0</v>
      </c>
      <c r="L129">
        <f t="shared" si="18"/>
        <v>2807.8131200000007</v>
      </c>
      <c r="M129">
        <f t="shared" si="19"/>
        <v>0</v>
      </c>
    </row>
    <row r="130" spans="1:13" x14ac:dyDescent="0.25">
      <c r="A130" t="str">
        <f>MTO_RAW!A130</f>
        <v>PG500*45-910*32</v>
      </c>
      <c r="B130">
        <f>MTO_RAW!C130</f>
        <v>2</v>
      </c>
      <c r="C130">
        <f>MTO_RAW!D130</f>
        <v>8500</v>
      </c>
      <c r="D130">
        <f t="shared" ref="D130:D193" si="20">IFERROR(VALUE(LEFT(A130,FIND("*",A130)-1)),0)</f>
        <v>0</v>
      </c>
      <c r="E130">
        <f t="shared" ref="E130:E193" si="21">IFERROR(VALUE(MID(A130,FIND("*",A130)+1,FIND("-",A130)-FIND("*",A130)-1)),0)</f>
        <v>45</v>
      </c>
      <c r="F130">
        <f t="shared" ref="F130:F193" si="22">IFERROR(VALUE(MID(A130,FIND("-",A130)+1,FIND("*",A130,FIND("-",A130))-FIND("-",A130)-1)),0)</f>
        <v>910</v>
      </c>
      <c r="G130">
        <f t="shared" ref="G130:G193" si="23">IFERROR(VALUE(MID(A130,FIND("*",A130,FIND("-",A130))+1,10)),0)</f>
        <v>32</v>
      </c>
      <c r="H130">
        <f t="shared" ref="H130:H193" si="24">IFERROR(VALUE(MID(A130,FIND("-",A130,FIND("-",A130)+1)+1,5)),D130)</f>
        <v>0</v>
      </c>
      <c r="I130">
        <f t="shared" ref="I130:I193" si="25">IFERROR(VALUE(RIGHT(A130,2)),E130)</f>
        <v>32</v>
      </c>
      <c r="J130">
        <f t="shared" ref="J130:J193" si="26">IF(E130=16,(D130/1000)*(C130/1000)*(16/1000)*7850*B130,0)+IF(I130=16,(H130/1000)*(C130/1000)*(16/1000)*7850*B130,0)+IF(G130=16,(F130/1000)*(C130/1000)*(16/1000)*7850*B130,0)</f>
        <v>0</v>
      </c>
      <c r="K130">
        <f t="shared" ref="K130:K193" si="27">IF(E130=20,(D130/1000)*(C130/1000)*(20/1000)*7850*B130,0)+IF(I130=20,(H130/1000)*(C130/1000)*(20/1000)*7850*B130,0)+IF(G130=20,(F130/1000)*(C130/1000)*(20/1000)*7850*B130,0)</f>
        <v>0</v>
      </c>
      <c r="L130">
        <f t="shared" ref="L130:L193" si="28">IF(E130=32,(D130/1000)*(C130/1000)*(32/1000)*7850*B130,0)+IF(I130=32,(H130/1000)*(C130/1000)*(32/1000)*7850*B130,0)+IF(G130=32,(F130/1000)*(C130/1000)*(32/1000)*7850*B130,0)</f>
        <v>3886.0640000000003</v>
      </c>
      <c r="M130">
        <f t="shared" ref="M130:M193" si="29">IF(E130=40,(D130/1000)*(C130/1000)*(40/1000)*7850*B130,0)+IF(I130=40,(H130/1000)*(C130/1000)*(40/1000)*7850*B130,0)+IF(G130=40,(F130/1000)*(C130/1000)*(40/1000)*7850*B130,0)</f>
        <v>0</v>
      </c>
    </row>
    <row r="131" spans="1:13" x14ac:dyDescent="0.25">
      <c r="A131" t="str">
        <f>MTO_RAW!A131</f>
        <v>PG500*45-910*32</v>
      </c>
      <c r="B131">
        <f>MTO_RAW!C131</f>
        <v>2</v>
      </c>
      <c r="C131">
        <f>MTO_RAW!D131</f>
        <v>10942</v>
      </c>
      <c r="D131">
        <f t="shared" si="20"/>
        <v>0</v>
      </c>
      <c r="E131">
        <f t="shared" si="21"/>
        <v>45</v>
      </c>
      <c r="F131">
        <f t="shared" si="22"/>
        <v>910</v>
      </c>
      <c r="G131">
        <f t="shared" si="23"/>
        <v>32</v>
      </c>
      <c r="H131">
        <f t="shared" si="24"/>
        <v>0</v>
      </c>
      <c r="I131">
        <f t="shared" si="25"/>
        <v>32</v>
      </c>
      <c r="J131">
        <f t="shared" si="26"/>
        <v>0</v>
      </c>
      <c r="K131">
        <f t="shared" si="27"/>
        <v>0</v>
      </c>
      <c r="L131">
        <f t="shared" si="28"/>
        <v>5002.5073280000006</v>
      </c>
      <c r="M131">
        <f t="shared" si="29"/>
        <v>0</v>
      </c>
    </row>
    <row r="132" spans="1:13" x14ac:dyDescent="0.25">
      <c r="A132" t="str">
        <f>MTO_RAW!A132</f>
        <v>PG550*36-3128*25</v>
      </c>
      <c r="B132">
        <f>MTO_RAW!C132</f>
        <v>2</v>
      </c>
      <c r="C132">
        <f>MTO_RAW!D132</f>
        <v>11000</v>
      </c>
      <c r="D132">
        <f t="shared" si="20"/>
        <v>0</v>
      </c>
      <c r="E132">
        <f t="shared" si="21"/>
        <v>36</v>
      </c>
      <c r="F132">
        <f t="shared" si="22"/>
        <v>3128</v>
      </c>
      <c r="G132">
        <f t="shared" si="23"/>
        <v>25</v>
      </c>
      <c r="H132">
        <f t="shared" si="24"/>
        <v>0</v>
      </c>
      <c r="I132">
        <f t="shared" si="25"/>
        <v>25</v>
      </c>
      <c r="J132">
        <f t="shared" si="26"/>
        <v>0</v>
      </c>
      <c r="K132">
        <f t="shared" si="27"/>
        <v>0</v>
      </c>
      <c r="L132">
        <f t="shared" si="28"/>
        <v>0</v>
      </c>
      <c r="M132">
        <f t="shared" si="29"/>
        <v>0</v>
      </c>
    </row>
    <row r="133" spans="1:13" x14ac:dyDescent="0.25">
      <c r="A133" t="str">
        <f>MTO_RAW!A133</f>
        <v>PG600*45-1110*32</v>
      </c>
      <c r="B133">
        <f>MTO_RAW!C133</f>
        <v>2</v>
      </c>
      <c r="C133">
        <f>MTO_RAW!D133</f>
        <v>10935</v>
      </c>
      <c r="D133">
        <f t="shared" si="20"/>
        <v>0</v>
      </c>
      <c r="E133">
        <f t="shared" si="21"/>
        <v>45</v>
      </c>
      <c r="F133">
        <f t="shared" si="22"/>
        <v>1110</v>
      </c>
      <c r="G133">
        <f t="shared" si="23"/>
        <v>32</v>
      </c>
      <c r="H133">
        <f t="shared" si="24"/>
        <v>0</v>
      </c>
      <c r="I133">
        <f t="shared" si="25"/>
        <v>32</v>
      </c>
      <c r="J133">
        <f t="shared" si="26"/>
        <v>0</v>
      </c>
      <c r="K133">
        <f t="shared" si="27"/>
        <v>0</v>
      </c>
      <c r="L133">
        <f t="shared" si="28"/>
        <v>6098.0558400000009</v>
      </c>
      <c r="M133">
        <f t="shared" si="29"/>
        <v>0</v>
      </c>
    </row>
    <row r="134" spans="1:13" x14ac:dyDescent="0.25">
      <c r="A134" t="str">
        <f>MTO_RAW!A134</f>
        <v>PG600*45-1110*32</v>
      </c>
      <c r="B134">
        <f>MTO_RAW!C134</f>
        <v>4</v>
      </c>
      <c r="C134">
        <f>MTO_RAW!D134</f>
        <v>12000</v>
      </c>
      <c r="D134">
        <f t="shared" si="20"/>
        <v>0</v>
      </c>
      <c r="E134">
        <f t="shared" si="21"/>
        <v>45</v>
      </c>
      <c r="F134">
        <f t="shared" si="22"/>
        <v>1110</v>
      </c>
      <c r="G134">
        <f t="shared" si="23"/>
        <v>32</v>
      </c>
      <c r="H134">
        <f t="shared" si="24"/>
        <v>0</v>
      </c>
      <c r="I134">
        <f t="shared" si="25"/>
        <v>32</v>
      </c>
      <c r="J134">
        <f t="shared" si="26"/>
        <v>0</v>
      </c>
      <c r="K134">
        <f t="shared" si="27"/>
        <v>0</v>
      </c>
      <c r="L134">
        <f t="shared" si="28"/>
        <v>13383.936</v>
      </c>
      <c r="M134">
        <f t="shared" si="29"/>
        <v>0</v>
      </c>
    </row>
    <row r="135" spans="1:13" x14ac:dyDescent="0.25">
      <c r="A135" t="str">
        <f>MTO_RAW!A135</f>
        <v>PG600*45-1160*32</v>
      </c>
      <c r="B135">
        <f>MTO_RAW!C135</f>
        <v>4</v>
      </c>
      <c r="C135">
        <f>MTO_RAW!D135</f>
        <v>6985</v>
      </c>
      <c r="D135">
        <f t="shared" si="20"/>
        <v>0</v>
      </c>
      <c r="E135">
        <f t="shared" si="21"/>
        <v>45</v>
      </c>
      <c r="F135">
        <f t="shared" si="22"/>
        <v>1160</v>
      </c>
      <c r="G135">
        <f t="shared" si="23"/>
        <v>32</v>
      </c>
      <c r="H135">
        <f t="shared" si="24"/>
        <v>0</v>
      </c>
      <c r="I135">
        <f t="shared" si="25"/>
        <v>32</v>
      </c>
      <c r="J135">
        <f t="shared" si="26"/>
        <v>0</v>
      </c>
      <c r="K135">
        <f t="shared" si="27"/>
        <v>0</v>
      </c>
      <c r="L135">
        <f t="shared" si="28"/>
        <v>8141.4924800000017</v>
      </c>
      <c r="M135">
        <f t="shared" si="29"/>
        <v>0</v>
      </c>
    </row>
    <row r="136" spans="1:13" x14ac:dyDescent="0.25">
      <c r="A136" t="str">
        <f>MTO_RAW!A136</f>
        <v>PG600*45-1160*32</v>
      </c>
      <c r="B136">
        <f>MTO_RAW!C136</f>
        <v>4</v>
      </c>
      <c r="C136">
        <f>MTO_RAW!D136</f>
        <v>10955</v>
      </c>
      <c r="D136">
        <f t="shared" si="20"/>
        <v>0</v>
      </c>
      <c r="E136">
        <f t="shared" si="21"/>
        <v>45</v>
      </c>
      <c r="F136">
        <f t="shared" si="22"/>
        <v>1160</v>
      </c>
      <c r="G136">
        <f t="shared" si="23"/>
        <v>32</v>
      </c>
      <c r="H136">
        <f t="shared" si="24"/>
        <v>0</v>
      </c>
      <c r="I136">
        <f t="shared" si="25"/>
        <v>32</v>
      </c>
      <c r="J136">
        <f t="shared" si="26"/>
        <v>0</v>
      </c>
      <c r="K136">
        <f t="shared" si="27"/>
        <v>0</v>
      </c>
      <c r="L136">
        <f t="shared" si="28"/>
        <v>12768.79744</v>
      </c>
      <c r="M136">
        <f t="shared" si="29"/>
        <v>0</v>
      </c>
    </row>
    <row r="137" spans="1:13" x14ac:dyDescent="0.25">
      <c r="A137" t="str">
        <f>MTO_RAW!A137</f>
        <v>PG600*45-1160*32</v>
      </c>
      <c r="B137">
        <f>MTO_RAW!C137</f>
        <v>4</v>
      </c>
      <c r="C137">
        <f>MTO_RAW!D137</f>
        <v>12000</v>
      </c>
      <c r="D137">
        <f t="shared" si="20"/>
        <v>0</v>
      </c>
      <c r="E137">
        <f t="shared" si="21"/>
        <v>45</v>
      </c>
      <c r="F137">
        <f t="shared" si="22"/>
        <v>1160</v>
      </c>
      <c r="G137">
        <f t="shared" si="23"/>
        <v>32</v>
      </c>
      <c r="H137">
        <f t="shared" si="24"/>
        <v>0</v>
      </c>
      <c r="I137">
        <f t="shared" si="25"/>
        <v>32</v>
      </c>
      <c r="J137">
        <f t="shared" si="26"/>
        <v>0</v>
      </c>
      <c r="K137">
        <f t="shared" si="27"/>
        <v>0</v>
      </c>
      <c r="L137">
        <f t="shared" si="28"/>
        <v>13986.815999999999</v>
      </c>
      <c r="M137">
        <f t="shared" si="29"/>
        <v>0</v>
      </c>
    </row>
    <row r="138" spans="1:13" x14ac:dyDescent="0.25">
      <c r="A138" t="str">
        <f>MTO_RAW!A138</f>
        <v>PL6*159</v>
      </c>
      <c r="B138">
        <f>MTO_RAW!C138</f>
        <v>2</v>
      </c>
      <c r="C138">
        <f>MTO_RAW!D138</f>
        <v>405</v>
      </c>
      <c r="D138">
        <f t="shared" si="20"/>
        <v>0</v>
      </c>
      <c r="E138">
        <f t="shared" si="21"/>
        <v>0</v>
      </c>
      <c r="F138">
        <f t="shared" si="22"/>
        <v>0</v>
      </c>
      <c r="G138">
        <f t="shared" si="23"/>
        <v>0</v>
      </c>
      <c r="H138">
        <f t="shared" si="24"/>
        <v>0</v>
      </c>
      <c r="I138">
        <f t="shared" si="25"/>
        <v>59</v>
      </c>
      <c r="J138">
        <f t="shared" si="26"/>
        <v>0</v>
      </c>
      <c r="K138">
        <f t="shared" si="27"/>
        <v>0</v>
      </c>
      <c r="L138">
        <f t="shared" si="28"/>
        <v>0</v>
      </c>
      <c r="M138">
        <f t="shared" si="29"/>
        <v>0</v>
      </c>
    </row>
    <row r="139" spans="1:13" x14ac:dyDescent="0.25">
      <c r="A139" t="str">
        <f>MTO_RAW!A139</f>
        <v>PL6*197</v>
      </c>
      <c r="B139">
        <f>MTO_RAW!C139</f>
        <v>10</v>
      </c>
      <c r="C139">
        <f>MTO_RAW!D139</f>
        <v>415</v>
      </c>
      <c r="D139">
        <f t="shared" si="20"/>
        <v>0</v>
      </c>
      <c r="E139">
        <f t="shared" si="21"/>
        <v>0</v>
      </c>
      <c r="F139">
        <f t="shared" si="22"/>
        <v>0</v>
      </c>
      <c r="G139">
        <f t="shared" si="23"/>
        <v>0</v>
      </c>
      <c r="H139">
        <f t="shared" si="24"/>
        <v>0</v>
      </c>
      <c r="I139">
        <f t="shared" si="25"/>
        <v>97</v>
      </c>
      <c r="J139">
        <f t="shared" si="26"/>
        <v>0</v>
      </c>
      <c r="K139">
        <f t="shared" si="27"/>
        <v>0</v>
      </c>
      <c r="L139">
        <f t="shared" si="28"/>
        <v>0</v>
      </c>
      <c r="M139">
        <f t="shared" si="29"/>
        <v>0</v>
      </c>
    </row>
    <row r="140" spans="1:13" x14ac:dyDescent="0.25">
      <c r="A140" t="str">
        <f>MTO_RAW!A140</f>
        <v>PL6*207</v>
      </c>
      <c r="B140">
        <f>MTO_RAW!C140</f>
        <v>2</v>
      </c>
      <c r="C140">
        <f>MTO_RAW!D140</f>
        <v>410</v>
      </c>
      <c r="D140">
        <f t="shared" si="20"/>
        <v>0</v>
      </c>
      <c r="E140">
        <f t="shared" si="21"/>
        <v>0</v>
      </c>
      <c r="F140">
        <f t="shared" si="22"/>
        <v>0</v>
      </c>
      <c r="G140">
        <f t="shared" si="23"/>
        <v>0</v>
      </c>
      <c r="H140">
        <f t="shared" si="24"/>
        <v>0</v>
      </c>
      <c r="I140">
        <f t="shared" si="25"/>
        <v>7</v>
      </c>
      <c r="J140">
        <f t="shared" si="26"/>
        <v>0</v>
      </c>
      <c r="K140">
        <f t="shared" si="27"/>
        <v>0</v>
      </c>
      <c r="L140">
        <f t="shared" si="28"/>
        <v>0</v>
      </c>
      <c r="M140">
        <f t="shared" si="29"/>
        <v>0</v>
      </c>
    </row>
    <row r="141" spans="1:13" x14ac:dyDescent="0.25">
      <c r="A141" t="str">
        <f>MTO_RAW!A141</f>
        <v>PL6*209</v>
      </c>
      <c r="B141">
        <f>MTO_RAW!C141</f>
        <v>2</v>
      </c>
      <c r="C141">
        <f>MTO_RAW!D141</f>
        <v>415</v>
      </c>
      <c r="D141">
        <f t="shared" si="20"/>
        <v>0</v>
      </c>
      <c r="E141">
        <f t="shared" si="21"/>
        <v>0</v>
      </c>
      <c r="F141">
        <f t="shared" si="22"/>
        <v>0</v>
      </c>
      <c r="G141">
        <f t="shared" si="23"/>
        <v>0</v>
      </c>
      <c r="H141">
        <f t="shared" si="24"/>
        <v>0</v>
      </c>
      <c r="I141">
        <f t="shared" si="25"/>
        <v>9</v>
      </c>
      <c r="J141">
        <f t="shared" si="26"/>
        <v>0</v>
      </c>
      <c r="K141">
        <f t="shared" si="27"/>
        <v>0</v>
      </c>
      <c r="L141">
        <f t="shared" si="28"/>
        <v>0</v>
      </c>
      <c r="M141">
        <f t="shared" si="29"/>
        <v>0</v>
      </c>
    </row>
    <row r="142" spans="1:13" x14ac:dyDescent="0.25">
      <c r="A142" t="str">
        <f>MTO_RAW!A142</f>
        <v>PL6*580</v>
      </c>
      <c r="B142">
        <f>MTO_RAW!C142</f>
        <v>16</v>
      </c>
      <c r="C142">
        <f>MTO_RAW!D142</f>
        <v>750</v>
      </c>
      <c r="D142">
        <f t="shared" si="20"/>
        <v>0</v>
      </c>
      <c r="E142">
        <f t="shared" si="21"/>
        <v>0</v>
      </c>
      <c r="F142">
        <f t="shared" si="22"/>
        <v>0</v>
      </c>
      <c r="G142">
        <f t="shared" si="23"/>
        <v>0</v>
      </c>
      <c r="H142">
        <f t="shared" si="24"/>
        <v>0</v>
      </c>
      <c r="I142">
        <f t="shared" si="25"/>
        <v>80</v>
      </c>
      <c r="J142">
        <f t="shared" si="26"/>
        <v>0</v>
      </c>
      <c r="K142">
        <f t="shared" si="27"/>
        <v>0</v>
      </c>
      <c r="L142">
        <f t="shared" si="28"/>
        <v>0</v>
      </c>
      <c r="M142">
        <f t="shared" si="29"/>
        <v>0</v>
      </c>
    </row>
    <row r="143" spans="1:13" x14ac:dyDescent="0.25">
      <c r="A143" t="str">
        <f>MTO_RAW!A143</f>
        <v>PL6*695</v>
      </c>
      <c r="B143">
        <f>MTO_RAW!C143</f>
        <v>8</v>
      </c>
      <c r="C143">
        <f>MTO_RAW!D143</f>
        <v>1035</v>
      </c>
      <c r="D143">
        <f t="shared" si="20"/>
        <v>0</v>
      </c>
      <c r="E143">
        <f t="shared" si="21"/>
        <v>0</v>
      </c>
      <c r="F143">
        <f t="shared" si="22"/>
        <v>0</v>
      </c>
      <c r="G143">
        <f t="shared" si="23"/>
        <v>0</v>
      </c>
      <c r="H143">
        <f t="shared" si="24"/>
        <v>0</v>
      </c>
      <c r="I143">
        <f t="shared" si="25"/>
        <v>95</v>
      </c>
      <c r="J143">
        <f t="shared" si="26"/>
        <v>0</v>
      </c>
      <c r="K143">
        <f t="shared" si="27"/>
        <v>0</v>
      </c>
      <c r="L143">
        <f t="shared" si="28"/>
        <v>0</v>
      </c>
      <c r="M143">
        <f t="shared" si="29"/>
        <v>0</v>
      </c>
    </row>
    <row r="144" spans="1:13" x14ac:dyDescent="0.25">
      <c r="A144" t="str">
        <f>MTO_RAW!A144</f>
        <v>PL8*282</v>
      </c>
      <c r="B144">
        <f>MTO_RAW!C144</f>
        <v>24</v>
      </c>
      <c r="C144">
        <f>MTO_RAW!D144</f>
        <v>1158</v>
      </c>
      <c r="D144">
        <f t="shared" si="20"/>
        <v>0</v>
      </c>
      <c r="E144">
        <f t="shared" si="21"/>
        <v>0</v>
      </c>
      <c r="F144">
        <f t="shared" si="22"/>
        <v>0</v>
      </c>
      <c r="G144">
        <f t="shared" si="23"/>
        <v>0</v>
      </c>
      <c r="H144">
        <f t="shared" si="24"/>
        <v>0</v>
      </c>
      <c r="I144">
        <f t="shared" si="25"/>
        <v>82</v>
      </c>
      <c r="J144">
        <f t="shared" si="26"/>
        <v>0</v>
      </c>
      <c r="K144">
        <f t="shared" si="27"/>
        <v>0</v>
      </c>
      <c r="L144">
        <f t="shared" si="28"/>
        <v>0</v>
      </c>
      <c r="M144">
        <f t="shared" si="29"/>
        <v>0</v>
      </c>
    </row>
    <row r="145" spans="1:13" x14ac:dyDescent="0.25">
      <c r="A145" t="str">
        <f>MTO_RAW!A145</f>
        <v>PL10*85</v>
      </c>
      <c r="B145">
        <f>MTO_RAW!C145</f>
        <v>4</v>
      </c>
      <c r="C145">
        <f>MTO_RAW!D145</f>
        <v>205</v>
      </c>
      <c r="D145">
        <f t="shared" si="20"/>
        <v>0</v>
      </c>
      <c r="E145">
        <f t="shared" si="21"/>
        <v>0</v>
      </c>
      <c r="F145">
        <f t="shared" si="22"/>
        <v>0</v>
      </c>
      <c r="G145">
        <f t="shared" si="23"/>
        <v>0</v>
      </c>
      <c r="H145">
        <f t="shared" si="24"/>
        <v>0</v>
      </c>
      <c r="I145">
        <f t="shared" si="25"/>
        <v>85</v>
      </c>
      <c r="J145">
        <f t="shared" si="26"/>
        <v>0</v>
      </c>
      <c r="K145">
        <f t="shared" si="27"/>
        <v>0</v>
      </c>
      <c r="L145">
        <f t="shared" si="28"/>
        <v>0</v>
      </c>
      <c r="M145">
        <f t="shared" si="29"/>
        <v>0</v>
      </c>
    </row>
    <row r="146" spans="1:13" x14ac:dyDescent="0.25">
      <c r="A146" t="str">
        <f>MTO_RAW!A146</f>
        <v>PL10*85</v>
      </c>
      <c r="B146">
        <f>MTO_RAW!C146</f>
        <v>4</v>
      </c>
      <c r="C146">
        <f>MTO_RAW!D146</f>
        <v>210</v>
      </c>
      <c r="D146">
        <f t="shared" si="20"/>
        <v>0</v>
      </c>
      <c r="E146">
        <f t="shared" si="21"/>
        <v>0</v>
      </c>
      <c r="F146">
        <f t="shared" si="22"/>
        <v>0</v>
      </c>
      <c r="G146">
        <f t="shared" si="23"/>
        <v>0</v>
      </c>
      <c r="H146">
        <f t="shared" si="24"/>
        <v>0</v>
      </c>
      <c r="I146">
        <f t="shared" si="25"/>
        <v>85</v>
      </c>
      <c r="J146">
        <f t="shared" si="26"/>
        <v>0</v>
      </c>
      <c r="K146">
        <f t="shared" si="27"/>
        <v>0</v>
      </c>
      <c r="L146">
        <f t="shared" si="28"/>
        <v>0</v>
      </c>
      <c r="M146">
        <f t="shared" si="29"/>
        <v>0</v>
      </c>
    </row>
    <row r="147" spans="1:13" x14ac:dyDescent="0.25">
      <c r="A147" t="str">
        <f>MTO_RAW!A147</f>
        <v>PL10*85</v>
      </c>
      <c r="B147">
        <f>MTO_RAW!C147</f>
        <v>16</v>
      </c>
      <c r="C147">
        <f>MTO_RAW!D147</f>
        <v>270</v>
      </c>
      <c r="D147">
        <f t="shared" si="20"/>
        <v>0</v>
      </c>
      <c r="E147">
        <f t="shared" si="21"/>
        <v>0</v>
      </c>
      <c r="F147">
        <f t="shared" si="22"/>
        <v>0</v>
      </c>
      <c r="G147">
        <f t="shared" si="23"/>
        <v>0</v>
      </c>
      <c r="H147">
        <f t="shared" si="24"/>
        <v>0</v>
      </c>
      <c r="I147">
        <f t="shared" si="25"/>
        <v>85</v>
      </c>
      <c r="J147">
        <f t="shared" si="26"/>
        <v>0</v>
      </c>
      <c r="K147">
        <f t="shared" si="27"/>
        <v>0</v>
      </c>
      <c r="L147">
        <f t="shared" si="28"/>
        <v>0</v>
      </c>
      <c r="M147">
        <f t="shared" si="29"/>
        <v>0</v>
      </c>
    </row>
    <row r="148" spans="1:13" x14ac:dyDescent="0.25">
      <c r="A148" t="str">
        <f>MTO_RAW!A148</f>
        <v>PL10*85</v>
      </c>
      <c r="B148">
        <f>MTO_RAW!C148</f>
        <v>5</v>
      </c>
      <c r="C148">
        <f>MTO_RAW!D148</f>
        <v>277</v>
      </c>
      <c r="D148">
        <f t="shared" si="20"/>
        <v>0</v>
      </c>
      <c r="E148">
        <f t="shared" si="21"/>
        <v>0</v>
      </c>
      <c r="F148">
        <f t="shared" si="22"/>
        <v>0</v>
      </c>
      <c r="G148">
        <f t="shared" si="23"/>
        <v>0</v>
      </c>
      <c r="H148">
        <f t="shared" si="24"/>
        <v>0</v>
      </c>
      <c r="I148">
        <f t="shared" si="25"/>
        <v>85</v>
      </c>
      <c r="J148">
        <f t="shared" si="26"/>
        <v>0</v>
      </c>
      <c r="K148">
        <f t="shared" si="27"/>
        <v>0</v>
      </c>
      <c r="L148">
        <f t="shared" si="28"/>
        <v>0</v>
      </c>
      <c r="M148">
        <f t="shared" si="29"/>
        <v>0</v>
      </c>
    </row>
    <row r="149" spans="1:13" x14ac:dyDescent="0.25">
      <c r="A149" t="str">
        <f>MTO_RAW!A149</f>
        <v>PL10*85</v>
      </c>
      <c r="B149">
        <f>MTO_RAW!C149</f>
        <v>3</v>
      </c>
      <c r="C149">
        <f>MTO_RAW!D149</f>
        <v>281</v>
      </c>
      <c r="D149">
        <f t="shared" si="20"/>
        <v>0</v>
      </c>
      <c r="E149">
        <f t="shared" si="21"/>
        <v>0</v>
      </c>
      <c r="F149">
        <f t="shared" si="22"/>
        <v>0</v>
      </c>
      <c r="G149">
        <f t="shared" si="23"/>
        <v>0</v>
      </c>
      <c r="H149">
        <f t="shared" si="24"/>
        <v>0</v>
      </c>
      <c r="I149">
        <f t="shared" si="25"/>
        <v>85</v>
      </c>
      <c r="J149">
        <f t="shared" si="26"/>
        <v>0</v>
      </c>
      <c r="K149">
        <f t="shared" si="27"/>
        <v>0</v>
      </c>
      <c r="L149">
        <f t="shared" si="28"/>
        <v>0</v>
      </c>
      <c r="M149">
        <f t="shared" si="29"/>
        <v>0</v>
      </c>
    </row>
    <row r="150" spans="1:13" x14ac:dyDescent="0.25">
      <c r="A150" t="str">
        <f>MTO_RAW!A150</f>
        <v>PL10*85</v>
      </c>
      <c r="B150">
        <f>MTO_RAW!C150</f>
        <v>5</v>
      </c>
      <c r="C150">
        <f>MTO_RAW!D150</f>
        <v>282</v>
      </c>
      <c r="D150">
        <f t="shared" si="20"/>
        <v>0</v>
      </c>
      <c r="E150">
        <f t="shared" si="21"/>
        <v>0</v>
      </c>
      <c r="F150">
        <f t="shared" si="22"/>
        <v>0</v>
      </c>
      <c r="G150">
        <f t="shared" si="23"/>
        <v>0</v>
      </c>
      <c r="H150">
        <f t="shared" si="24"/>
        <v>0</v>
      </c>
      <c r="I150">
        <f t="shared" si="25"/>
        <v>85</v>
      </c>
      <c r="J150">
        <f t="shared" si="26"/>
        <v>0</v>
      </c>
      <c r="K150">
        <f t="shared" si="27"/>
        <v>0</v>
      </c>
      <c r="L150">
        <f t="shared" si="28"/>
        <v>0</v>
      </c>
      <c r="M150">
        <f t="shared" si="29"/>
        <v>0</v>
      </c>
    </row>
    <row r="151" spans="1:13" x14ac:dyDescent="0.25">
      <c r="A151" t="str">
        <f>MTO_RAW!A151</f>
        <v>PL10*212</v>
      </c>
      <c r="B151">
        <f>MTO_RAW!C151</f>
        <v>6</v>
      </c>
      <c r="C151">
        <f>MTO_RAW!D151</f>
        <v>332</v>
      </c>
      <c r="D151">
        <f t="shared" si="20"/>
        <v>0</v>
      </c>
      <c r="E151">
        <f t="shared" si="21"/>
        <v>0</v>
      </c>
      <c r="F151">
        <f t="shared" si="22"/>
        <v>0</v>
      </c>
      <c r="G151">
        <f t="shared" si="23"/>
        <v>0</v>
      </c>
      <c r="H151">
        <f t="shared" si="24"/>
        <v>0</v>
      </c>
      <c r="I151">
        <f t="shared" si="25"/>
        <v>12</v>
      </c>
      <c r="J151">
        <f t="shared" si="26"/>
        <v>0</v>
      </c>
      <c r="K151">
        <f t="shared" si="27"/>
        <v>0</v>
      </c>
      <c r="L151">
        <f t="shared" si="28"/>
        <v>0</v>
      </c>
      <c r="M151">
        <f t="shared" si="29"/>
        <v>0</v>
      </c>
    </row>
    <row r="152" spans="1:13" x14ac:dyDescent="0.25">
      <c r="A152" t="str">
        <f>MTO_RAW!A152</f>
        <v>PL10*219.5</v>
      </c>
      <c r="B152">
        <f>MTO_RAW!C152</f>
        <v>20</v>
      </c>
      <c r="C152">
        <f>MTO_RAW!D152</f>
        <v>283</v>
      </c>
      <c r="D152">
        <f t="shared" si="20"/>
        <v>0</v>
      </c>
      <c r="E152">
        <f t="shared" si="21"/>
        <v>0</v>
      </c>
      <c r="F152">
        <f t="shared" si="22"/>
        <v>0</v>
      </c>
      <c r="G152">
        <f t="shared" si="23"/>
        <v>0</v>
      </c>
      <c r="H152">
        <f t="shared" si="24"/>
        <v>0</v>
      </c>
      <c r="I152">
        <f t="shared" si="25"/>
        <v>0.5</v>
      </c>
      <c r="J152">
        <f t="shared" si="26"/>
        <v>0</v>
      </c>
      <c r="K152">
        <f t="shared" si="27"/>
        <v>0</v>
      </c>
      <c r="L152">
        <f t="shared" si="28"/>
        <v>0</v>
      </c>
      <c r="M152">
        <f t="shared" si="29"/>
        <v>0</v>
      </c>
    </row>
    <row r="153" spans="1:13" x14ac:dyDescent="0.25">
      <c r="A153" t="str">
        <f>MTO_RAW!A153</f>
        <v>PL10*222</v>
      </c>
      <c r="B153">
        <f>MTO_RAW!C153</f>
        <v>5</v>
      </c>
      <c r="C153">
        <f>MTO_RAW!D153</f>
        <v>332</v>
      </c>
      <c r="D153">
        <f t="shared" si="20"/>
        <v>0</v>
      </c>
      <c r="E153">
        <f t="shared" si="21"/>
        <v>0</v>
      </c>
      <c r="F153">
        <f t="shared" si="22"/>
        <v>0</v>
      </c>
      <c r="G153">
        <f t="shared" si="23"/>
        <v>0</v>
      </c>
      <c r="H153">
        <f t="shared" si="24"/>
        <v>0</v>
      </c>
      <c r="I153">
        <f t="shared" si="25"/>
        <v>22</v>
      </c>
      <c r="J153">
        <f t="shared" si="26"/>
        <v>0</v>
      </c>
      <c r="K153">
        <f t="shared" si="27"/>
        <v>0</v>
      </c>
      <c r="L153">
        <f t="shared" si="28"/>
        <v>0</v>
      </c>
      <c r="M153">
        <f t="shared" si="29"/>
        <v>0</v>
      </c>
    </row>
    <row r="154" spans="1:13" x14ac:dyDescent="0.25">
      <c r="A154" t="str">
        <f>MTO_RAW!A154</f>
        <v>PL10*231.7</v>
      </c>
      <c r="B154">
        <f>MTO_RAW!C154</f>
        <v>1</v>
      </c>
      <c r="C154">
        <f>MTO_RAW!D154</f>
        <v>334</v>
      </c>
      <c r="D154">
        <f t="shared" si="20"/>
        <v>0</v>
      </c>
      <c r="E154">
        <f t="shared" si="21"/>
        <v>0</v>
      </c>
      <c r="F154">
        <f t="shared" si="22"/>
        <v>0</v>
      </c>
      <c r="G154">
        <f t="shared" si="23"/>
        <v>0</v>
      </c>
      <c r="H154">
        <f t="shared" si="24"/>
        <v>0</v>
      </c>
      <c r="I154">
        <f t="shared" si="25"/>
        <v>0.7</v>
      </c>
      <c r="J154">
        <f t="shared" si="26"/>
        <v>0</v>
      </c>
      <c r="K154">
        <f t="shared" si="27"/>
        <v>0</v>
      </c>
      <c r="L154">
        <f t="shared" si="28"/>
        <v>0</v>
      </c>
      <c r="M154">
        <f t="shared" si="29"/>
        <v>0</v>
      </c>
    </row>
    <row r="155" spans="1:13" x14ac:dyDescent="0.25">
      <c r="A155" t="str">
        <f>MTO_RAW!A155</f>
        <v>PL10*247</v>
      </c>
      <c r="B155">
        <f>MTO_RAW!C155</f>
        <v>4</v>
      </c>
      <c r="C155">
        <f>MTO_RAW!D155</f>
        <v>530</v>
      </c>
      <c r="D155">
        <f t="shared" si="20"/>
        <v>0</v>
      </c>
      <c r="E155">
        <f t="shared" si="21"/>
        <v>0</v>
      </c>
      <c r="F155">
        <f t="shared" si="22"/>
        <v>0</v>
      </c>
      <c r="G155">
        <f t="shared" si="23"/>
        <v>0</v>
      </c>
      <c r="H155">
        <f t="shared" si="24"/>
        <v>0</v>
      </c>
      <c r="I155">
        <f t="shared" si="25"/>
        <v>47</v>
      </c>
      <c r="J155">
        <f t="shared" si="26"/>
        <v>0</v>
      </c>
      <c r="K155">
        <f t="shared" si="27"/>
        <v>0</v>
      </c>
      <c r="L155">
        <f t="shared" si="28"/>
        <v>0</v>
      </c>
      <c r="M155">
        <f t="shared" si="29"/>
        <v>0</v>
      </c>
    </row>
    <row r="156" spans="1:13" x14ac:dyDescent="0.25">
      <c r="A156" t="str">
        <f>MTO_RAW!A156</f>
        <v>PL10*249</v>
      </c>
      <c r="B156">
        <f>MTO_RAW!C156</f>
        <v>2</v>
      </c>
      <c r="C156">
        <f>MTO_RAW!D156</f>
        <v>460</v>
      </c>
      <c r="D156">
        <f t="shared" si="20"/>
        <v>0</v>
      </c>
      <c r="E156">
        <f t="shared" si="21"/>
        <v>0</v>
      </c>
      <c r="F156">
        <f t="shared" si="22"/>
        <v>0</v>
      </c>
      <c r="G156">
        <f t="shared" si="23"/>
        <v>0</v>
      </c>
      <c r="H156">
        <f t="shared" si="24"/>
        <v>0</v>
      </c>
      <c r="I156">
        <f t="shared" si="25"/>
        <v>49</v>
      </c>
      <c r="J156">
        <f t="shared" si="26"/>
        <v>0</v>
      </c>
      <c r="K156">
        <f t="shared" si="27"/>
        <v>0</v>
      </c>
      <c r="L156">
        <f t="shared" si="28"/>
        <v>0</v>
      </c>
      <c r="M156">
        <f t="shared" si="29"/>
        <v>0</v>
      </c>
    </row>
    <row r="157" spans="1:13" x14ac:dyDescent="0.25">
      <c r="A157" t="str">
        <f>MTO_RAW!A157</f>
        <v>PL10*259</v>
      </c>
      <c r="B157">
        <f>MTO_RAW!C157</f>
        <v>25</v>
      </c>
      <c r="C157">
        <f>MTO_RAW!D157</f>
        <v>360</v>
      </c>
      <c r="D157">
        <f t="shared" si="20"/>
        <v>0</v>
      </c>
      <c r="E157">
        <f t="shared" si="21"/>
        <v>0</v>
      </c>
      <c r="F157">
        <f t="shared" si="22"/>
        <v>0</v>
      </c>
      <c r="G157">
        <f t="shared" si="23"/>
        <v>0</v>
      </c>
      <c r="H157">
        <f t="shared" si="24"/>
        <v>0</v>
      </c>
      <c r="I157">
        <f t="shared" si="25"/>
        <v>59</v>
      </c>
      <c r="J157">
        <f t="shared" si="26"/>
        <v>0</v>
      </c>
      <c r="K157">
        <f t="shared" si="27"/>
        <v>0</v>
      </c>
      <c r="L157">
        <f t="shared" si="28"/>
        <v>0</v>
      </c>
      <c r="M157">
        <f t="shared" si="29"/>
        <v>0</v>
      </c>
    </row>
    <row r="158" spans="1:13" x14ac:dyDescent="0.25">
      <c r="A158" t="str">
        <f>MTO_RAW!A158</f>
        <v>PL10*260.1</v>
      </c>
      <c r="B158">
        <f>MTO_RAW!C158</f>
        <v>8</v>
      </c>
      <c r="C158">
        <f>MTO_RAW!D158</f>
        <v>381</v>
      </c>
      <c r="D158">
        <f t="shared" si="20"/>
        <v>0</v>
      </c>
      <c r="E158">
        <f t="shared" si="21"/>
        <v>0</v>
      </c>
      <c r="F158">
        <f t="shared" si="22"/>
        <v>0</v>
      </c>
      <c r="G158">
        <f t="shared" si="23"/>
        <v>0</v>
      </c>
      <c r="H158">
        <f t="shared" si="24"/>
        <v>0</v>
      </c>
      <c r="I158">
        <f t="shared" si="25"/>
        <v>0.1</v>
      </c>
      <c r="J158">
        <f t="shared" si="26"/>
        <v>0</v>
      </c>
      <c r="K158">
        <f t="shared" si="27"/>
        <v>0</v>
      </c>
      <c r="L158">
        <f t="shared" si="28"/>
        <v>0</v>
      </c>
      <c r="M158">
        <f t="shared" si="29"/>
        <v>0</v>
      </c>
    </row>
    <row r="159" spans="1:13" x14ac:dyDescent="0.25">
      <c r="A159" t="str">
        <f>MTO_RAW!A159</f>
        <v>PL10*282</v>
      </c>
      <c r="B159">
        <f>MTO_RAW!C159</f>
        <v>48</v>
      </c>
      <c r="C159">
        <f>MTO_RAW!D159</f>
        <v>1158</v>
      </c>
      <c r="D159">
        <f t="shared" si="20"/>
        <v>0</v>
      </c>
      <c r="E159">
        <f t="shared" si="21"/>
        <v>0</v>
      </c>
      <c r="F159">
        <f t="shared" si="22"/>
        <v>0</v>
      </c>
      <c r="G159">
        <f t="shared" si="23"/>
        <v>0</v>
      </c>
      <c r="H159">
        <f t="shared" si="24"/>
        <v>0</v>
      </c>
      <c r="I159">
        <f t="shared" si="25"/>
        <v>82</v>
      </c>
      <c r="J159">
        <f t="shared" si="26"/>
        <v>0</v>
      </c>
      <c r="K159">
        <f t="shared" si="27"/>
        <v>0</v>
      </c>
      <c r="L159">
        <f t="shared" si="28"/>
        <v>0</v>
      </c>
      <c r="M159">
        <f t="shared" si="29"/>
        <v>0</v>
      </c>
    </row>
    <row r="160" spans="1:13" x14ac:dyDescent="0.25">
      <c r="A160" t="str">
        <f>MTO_RAW!A160</f>
        <v>PL10*284</v>
      </c>
      <c r="B160">
        <f>MTO_RAW!C160</f>
        <v>6</v>
      </c>
      <c r="C160">
        <f>MTO_RAW!D160</f>
        <v>360</v>
      </c>
      <c r="D160">
        <f t="shared" si="20"/>
        <v>0</v>
      </c>
      <c r="E160">
        <f t="shared" si="21"/>
        <v>0</v>
      </c>
      <c r="F160">
        <f t="shared" si="22"/>
        <v>0</v>
      </c>
      <c r="G160">
        <f t="shared" si="23"/>
        <v>0</v>
      </c>
      <c r="H160">
        <f t="shared" si="24"/>
        <v>0</v>
      </c>
      <c r="I160">
        <f t="shared" si="25"/>
        <v>84</v>
      </c>
      <c r="J160">
        <f t="shared" si="26"/>
        <v>0</v>
      </c>
      <c r="K160">
        <f t="shared" si="27"/>
        <v>0</v>
      </c>
      <c r="L160">
        <f t="shared" si="28"/>
        <v>0</v>
      </c>
      <c r="M160">
        <f t="shared" si="29"/>
        <v>0</v>
      </c>
    </row>
    <row r="161" spans="1:13" x14ac:dyDescent="0.25">
      <c r="A161" t="str">
        <f>MTO_RAW!A161</f>
        <v>PL10*284</v>
      </c>
      <c r="B161">
        <f>MTO_RAW!C161</f>
        <v>1</v>
      </c>
      <c r="C161">
        <f>MTO_RAW!D161</f>
        <v>460</v>
      </c>
      <c r="D161">
        <f t="shared" si="20"/>
        <v>0</v>
      </c>
      <c r="E161">
        <f t="shared" si="21"/>
        <v>0</v>
      </c>
      <c r="F161">
        <f t="shared" si="22"/>
        <v>0</v>
      </c>
      <c r="G161">
        <f t="shared" si="23"/>
        <v>0</v>
      </c>
      <c r="H161">
        <f t="shared" si="24"/>
        <v>0</v>
      </c>
      <c r="I161">
        <f t="shared" si="25"/>
        <v>84</v>
      </c>
      <c r="J161">
        <f t="shared" si="26"/>
        <v>0</v>
      </c>
      <c r="K161">
        <f t="shared" si="27"/>
        <v>0</v>
      </c>
      <c r="L161">
        <f t="shared" si="28"/>
        <v>0</v>
      </c>
      <c r="M161">
        <f t="shared" si="29"/>
        <v>0</v>
      </c>
    </row>
    <row r="162" spans="1:13" x14ac:dyDescent="0.25">
      <c r="A162" t="str">
        <f>MTO_RAW!A162</f>
        <v>PL10*294</v>
      </c>
      <c r="B162">
        <f>MTO_RAW!C162</f>
        <v>6</v>
      </c>
      <c r="C162">
        <f>MTO_RAW!D162</f>
        <v>360</v>
      </c>
      <c r="D162">
        <f t="shared" si="20"/>
        <v>0</v>
      </c>
      <c r="E162">
        <f t="shared" si="21"/>
        <v>0</v>
      </c>
      <c r="F162">
        <f t="shared" si="22"/>
        <v>0</v>
      </c>
      <c r="G162">
        <f t="shared" si="23"/>
        <v>0</v>
      </c>
      <c r="H162">
        <f t="shared" si="24"/>
        <v>0</v>
      </c>
      <c r="I162">
        <f t="shared" si="25"/>
        <v>94</v>
      </c>
      <c r="J162">
        <f t="shared" si="26"/>
        <v>0</v>
      </c>
      <c r="K162">
        <f t="shared" si="27"/>
        <v>0</v>
      </c>
      <c r="L162">
        <f t="shared" si="28"/>
        <v>0</v>
      </c>
      <c r="M162">
        <f t="shared" si="29"/>
        <v>0</v>
      </c>
    </row>
    <row r="163" spans="1:13" x14ac:dyDescent="0.25">
      <c r="A163" t="str">
        <f>MTO_RAW!A163</f>
        <v>PL10*317</v>
      </c>
      <c r="B163">
        <f>MTO_RAW!C163</f>
        <v>6</v>
      </c>
      <c r="C163">
        <f>MTO_RAW!D163</f>
        <v>550</v>
      </c>
      <c r="D163">
        <f t="shared" si="20"/>
        <v>0</v>
      </c>
      <c r="E163">
        <f t="shared" si="21"/>
        <v>0</v>
      </c>
      <c r="F163">
        <f t="shared" si="22"/>
        <v>0</v>
      </c>
      <c r="G163">
        <f t="shared" si="23"/>
        <v>0</v>
      </c>
      <c r="H163">
        <f t="shared" si="24"/>
        <v>0</v>
      </c>
      <c r="I163">
        <f t="shared" si="25"/>
        <v>17</v>
      </c>
      <c r="J163">
        <f t="shared" si="26"/>
        <v>0</v>
      </c>
      <c r="K163">
        <f t="shared" si="27"/>
        <v>0</v>
      </c>
      <c r="L163">
        <f t="shared" si="28"/>
        <v>0</v>
      </c>
      <c r="M163">
        <f t="shared" si="29"/>
        <v>0</v>
      </c>
    </row>
    <row r="164" spans="1:13" x14ac:dyDescent="0.25">
      <c r="A164" t="str">
        <f>MTO_RAW!A164</f>
        <v>PL10*331.5</v>
      </c>
      <c r="B164">
        <f>MTO_RAW!C164</f>
        <v>4</v>
      </c>
      <c r="C164">
        <f>MTO_RAW!D164</f>
        <v>500</v>
      </c>
      <c r="D164">
        <f t="shared" si="20"/>
        <v>0</v>
      </c>
      <c r="E164">
        <f t="shared" si="21"/>
        <v>0</v>
      </c>
      <c r="F164">
        <f t="shared" si="22"/>
        <v>0</v>
      </c>
      <c r="G164">
        <f t="shared" si="23"/>
        <v>0</v>
      </c>
      <c r="H164">
        <f t="shared" si="24"/>
        <v>0</v>
      </c>
      <c r="I164">
        <f t="shared" si="25"/>
        <v>0.5</v>
      </c>
      <c r="J164">
        <f t="shared" si="26"/>
        <v>0</v>
      </c>
      <c r="K164">
        <f t="shared" si="27"/>
        <v>0</v>
      </c>
      <c r="L164">
        <f t="shared" si="28"/>
        <v>0</v>
      </c>
      <c r="M164">
        <f t="shared" si="29"/>
        <v>0</v>
      </c>
    </row>
    <row r="165" spans="1:13" x14ac:dyDescent="0.25">
      <c r="A165" t="str">
        <f>MTO_RAW!A165</f>
        <v>PL10*343.1</v>
      </c>
      <c r="B165">
        <f>MTO_RAW!C165</f>
        <v>4</v>
      </c>
      <c r="C165">
        <f>MTO_RAW!D165</f>
        <v>751</v>
      </c>
      <c r="D165">
        <f t="shared" si="20"/>
        <v>0</v>
      </c>
      <c r="E165">
        <f t="shared" si="21"/>
        <v>0</v>
      </c>
      <c r="F165">
        <f t="shared" si="22"/>
        <v>0</v>
      </c>
      <c r="G165">
        <f t="shared" si="23"/>
        <v>0</v>
      </c>
      <c r="H165">
        <f t="shared" si="24"/>
        <v>0</v>
      </c>
      <c r="I165">
        <f t="shared" si="25"/>
        <v>0.1</v>
      </c>
      <c r="J165">
        <f t="shared" si="26"/>
        <v>0</v>
      </c>
      <c r="K165">
        <f t="shared" si="27"/>
        <v>0</v>
      </c>
      <c r="L165">
        <f t="shared" si="28"/>
        <v>0</v>
      </c>
      <c r="M165">
        <f t="shared" si="29"/>
        <v>0</v>
      </c>
    </row>
    <row r="166" spans="1:13" x14ac:dyDescent="0.25">
      <c r="A166" t="str">
        <f>MTO_RAW!A166</f>
        <v>PL10*343.1</v>
      </c>
      <c r="B166">
        <f>MTO_RAW!C166</f>
        <v>32</v>
      </c>
      <c r="C166">
        <f>MTO_RAW!D166</f>
        <v>1136</v>
      </c>
      <c r="D166">
        <f t="shared" si="20"/>
        <v>0</v>
      </c>
      <c r="E166">
        <f t="shared" si="21"/>
        <v>0</v>
      </c>
      <c r="F166">
        <f t="shared" si="22"/>
        <v>0</v>
      </c>
      <c r="G166">
        <f t="shared" si="23"/>
        <v>0</v>
      </c>
      <c r="H166">
        <f t="shared" si="24"/>
        <v>0</v>
      </c>
      <c r="I166">
        <f t="shared" si="25"/>
        <v>0.1</v>
      </c>
      <c r="J166">
        <f t="shared" si="26"/>
        <v>0</v>
      </c>
      <c r="K166">
        <f t="shared" si="27"/>
        <v>0</v>
      </c>
      <c r="L166">
        <f t="shared" si="28"/>
        <v>0</v>
      </c>
      <c r="M166">
        <f t="shared" si="29"/>
        <v>0</v>
      </c>
    </row>
    <row r="167" spans="1:13" x14ac:dyDescent="0.25">
      <c r="A167" t="str">
        <f>MTO_RAW!A167</f>
        <v>PL10*343.1</v>
      </c>
      <c r="B167">
        <f>MTO_RAW!C167</f>
        <v>4</v>
      </c>
      <c r="C167">
        <f>MTO_RAW!D167</f>
        <v>1377</v>
      </c>
      <c r="D167">
        <f t="shared" si="20"/>
        <v>0</v>
      </c>
      <c r="E167">
        <f t="shared" si="21"/>
        <v>0</v>
      </c>
      <c r="F167">
        <f t="shared" si="22"/>
        <v>0</v>
      </c>
      <c r="G167">
        <f t="shared" si="23"/>
        <v>0</v>
      </c>
      <c r="H167">
        <f t="shared" si="24"/>
        <v>0</v>
      </c>
      <c r="I167">
        <f t="shared" si="25"/>
        <v>0.1</v>
      </c>
      <c r="J167">
        <f t="shared" si="26"/>
        <v>0</v>
      </c>
      <c r="K167">
        <f t="shared" si="27"/>
        <v>0</v>
      </c>
      <c r="L167">
        <f t="shared" si="28"/>
        <v>0</v>
      </c>
      <c r="M167">
        <f t="shared" si="29"/>
        <v>0</v>
      </c>
    </row>
    <row r="168" spans="1:13" x14ac:dyDescent="0.25">
      <c r="A168" t="str">
        <f>MTO_RAW!A168</f>
        <v>PL10*437.9</v>
      </c>
      <c r="B168">
        <f>MTO_RAW!C168</f>
        <v>16</v>
      </c>
      <c r="C168">
        <f>MTO_RAW!D168</f>
        <v>1326</v>
      </c>
      <c r="D168">
        <f t="shared" si="20"/>
        <v>0</v>
      </c>
      <c r="E168">
        <f t="shared" si="21"/>
        <v>0</v>
      </c>
      <c r="F168">
        <f t="shared" si="22"/>
        <v>0</v>
      </c>
      <c r="G168">
        <f t="shared" si="23"/>
        <v>0</v>
      </c>
      <c r="H168">
        <f t="shared" si="24"/>
        <v>0</v>
      </c>
      <c r="I168">
        <f t="shared" si="25"/>
        <v>0.9</v>
      </c>
      <c r="J168">
        <f t="shared" si="26"/>
        <v>0</v>
      </c>
      <c r="K168">
        <f t="shared" si="27"/>
        <v>0</v>
      </c>
      <c r="L168">
        <f t="shared" si="28"/>
        <v>0</v>
      </c>
      <c r="M168">
        <f t="shared" si="29"/>
        <v>0</v>
      </c>
    </row>
    <row r="169" spans="1:13" x14ac:dyDescent="0.25">
      <c r="A169" t="str">
        <f>MTO_RAW!A169</f>
        <v>PL10*1090</v>
      </c>
      <c r="B169">
        <f>MTO_RAW!C169</f>
        <v>12</v>
      </c>
      <c r="C169">
        <f>MTO_RAW!D169</f>
        <v>1968</v>
      </c>
      <c r="D169">
        <f t="shared" si="20"/>
        <v>0</v>
      </c>
      <c r="E169">
        <f t="shared" si="21"/>
        <v>0</v>
      </c>
      <c r="F169">
        <f t="shared" si="22"/>
        <v>0</v>
      </c>
      <c r="G169">
        <f t="shared" si="23"/>
        <v>0</v>
      </c>
      <c r="H169">
        <f t="shared" si="24"/>
        <v>0</v>
      </c>
      <c r="I169">
        <f t="shared" si="25"/>
        <v>90</v>
      </c>
      <c r="J169">
        <f t="shared" si="26"/>
        <v>0</v>
      </c>
      <c r="K169">
        <f t="shared" si="27"/>
        <v>0</v>
      </c>
      <c r="L169">
        <f t="shared" si="28"/>
        <v>0</v>
      </c>
      <c r="M169">
        <f t="shared" si="29"/>
        <v>0</v>
      </c>
    </row>
    <row r="170" spans="1:13" x14ac:dyDescent="0.25">
      <c r="A170" t="str">
        <f>MTO_RAW!A170</f>
        <v>PL12*95</v>
      </c>
      <c r="B170">
        <f>MTO_RAW!C170</f>
        <v>19</v>
      </c>
      <c r="C170">
        <f>MTO_RAW!D170</f>
        <v>290</v>
      </c>
      <c r="D170">
        <f t="shared" si="20"/>
        <v>0</v>
      </c>
      <c r="E170">
        <f t="shared" si="21"/>
        <v>0</v>
      </c>
      <c r="F170">
        <f t="shared" si="22"/>
        <v>0</v>
      </c>
      <c r="G170">
        <f t="shared" si="23"/>
        <v>0</v>
      </c>
      <c r="H170">
        <f t="shared" si="24"/>
        <v>0</v>
      </c>
      <c r="I170">
        <f t="shared" si="25"/>
        <v>95</v>
      </c>
      <c r="J170">
        <f t="shared" si="26"/>
        <v>0</v>
      </c>
      <c r="K170">
        <f t="shared" si="27"/>
        <v>0</v>
      </c>
      <c r="L170">
        <f t="shared" si="28"/>
        <v>0</v>
      </c>
      <c r="M170">
        <f t="shared" si="29"/>
        <v>0</v>
      </c>
    </row>
    <row r="171" spans="1:13" x14ac:dyDescent="0.25">
      <c r="A171" t="str">
        <f>MTO_RAW!A171</f>
        <v>PL12*95</v>
      </c>
      <c r="B171">
        <f>MTO_RAW!C171</f>
        <v>4</v>
      </c>
      <c r="C171">
        <f>MTO_RAW!D171</f>
        <v>295</v>
      </c>
      <c r="D171">
        <f t="shared" si="20"/>
        <v>0</v>
      </c>
      <c r="E171">
        <f t="shared" si="21"/>
        <v>0</v>
      </c>
      <c r="F171">
        <f t="shared" si="22"/>
        <v>0</v>
      </c>
      <c r="G171">
        <f t="shared" si="23"/>
        <v>0</v>
      </c>
      <c r="H171">
        <f t="shared" si="24"/>
        <v>0</v>
      </c>
      <c r="I171">
        <f t="shared" si="25"/>
        <v>95</v>
      </c>
      <c r="J171">
        <f t="shared" si="26"/>
        <v>0</v>
      </c>
      <c r="K171">
        <f t="shared" si="27"/>
        <v>0</v>
      </c>
      <c r="L171">
        <f t="shared" si="28"/>
        <v>0</v>
      </c>
      <c r="M171">
        <f t="shared" si="29"/>
        <v>0</v>
      </c>
    </row>
    <row r="172" spans="1:13" x14ac:dyDescent="0.25">
      <c r="A172" t="str">
        <f>MTO_RAW!A172</f>
        <v>PL12*95</v>
      </c>
      <c r="B172">
        <f>MTO_RAW!C172</f>
        <v>15</v>
      </c>
      <c r="C172">
        <f>MTO_RAW!D172</f>
        <v>395</v>
      </c>
      <c r="D172">
        <f t="shared" si="20"/>
        <v>0</v>
      </c>
      <c r="E172">
        <f t="shared" si="21"/>
        <v>0</v>
      </c>
      <c r="F172">
        <f t="shared" si="22"/>
        <v>0</v>
      </c>
      <c r="G172">
        <f t="shared" si="23"/>
        <v>0</v>
      </c>
      <c r="H172">
        <f t="shared" si="24"/>
        <v>0</v>
      </c>
      <c r="I172">
        <f t="shared" si="25"/>
        <v>95</v>
      </c>
      <c r="J172">
        <f t="shared" si="26"/>
        <v>0</v>
      </c>
      <c r="K172">
        <f t="shared" si="27"/>
        <v>0</v>
      </c>
      <c r="L172">
        <f t="shared" si="28"/>
        <v>0</v>
      </c>
      <c r="M172">
        <f t="shared" si="29"/>
        <v>0</v>
      </c>
    </row>
    <row r="173" spans="1:13" x14ac:dyDescent="0.25">
      <c r="A173" t="str">
        <f>MTO_RAW!A173</f>
        <v>PL12*95</v>
      </c>
      <c r="B173">
        <f>MTO_RAW!C173</f>
        <v>2</v>
      </c>
      <c r="C173">
        <f>MTO_RAW!D173</f>
        <v>404</v>
      </c>
      <c r="D173">
        <f t="shared" si="20"/>
        <v>0</v>
      </c>
      <c r="E173">
        <f t="shared" si="21"/>
        <v>0</v>
      </c>
      <c r="F173">
        <f t="shared" si="22"/>
        <v>0</v>
      </c>
      <c r="G173">
        <f t="shared" si="23"/>
        <v>0</v>
      </c>
      <c r="H173">
        <f t="shared" si="24"/>
        <v>0</v>
      </c>
      <c r="I173">
        <f t="shared" si="25"/>
        <v>95</v>
      </c>
      <c r="J173">
        <f t="shared" si="26"/>
        <v>0</v>
      </c>
      <c r="K173">
        <f t="shared" si="27"/>
        <v>0</v>
      </c>
      <c r="L173">
        <f t="shared" si="28"/>
        <v>0</v>
      </c>
      <c r="M173">
        <f t="shared" si="29"/>
        <v>0</v>
      </c>
    </row>
    <row r="174" spans="1:13" x14ac:dyDescent="0.25">
      <c r="A174" t="str">
        <f>MTO_RAW!A174</f>
        <v>PL12*95</v>
      </c>
      <c r="B174">
        <f>MTO_RAW!C174</f>
        <v>1</v>
      </c>
      <c r="C174">
        <f>MTO_RAW!D174</f>
        <v>435</v>
      </c>
      <c r="D174">
        <f t="shared" si="20"/>
        <v>0</v>
      </c>
      <c r="E174">
        <f t="shared" si="21"/>
        <v>0</v>
      </c>
      <c r="F174">
        <f t="shared" si="22"/>
        <v>0</v>
      </c>
      <c r="G174">
        <f t="shared" si="23"/>
        <v>0</v>
      </c>
      <c r="H174">
        <f t="shared" si="24"/>
        <v>0</v>
      </c>
      <c r="I174">
        <f t="shared" si="25"/>
        <v>95</v>
      </c>
      <c r="J174">
        <f t="shared" si="26"/>
        <v>0</v>
      </c>
      <c r="K174">
        <f t="shared" si="27"/>
        <v>0</v>
      </c>
      <c r="L174">
        <f t="shared" si="28"/>
        <v>0</v>
      </c>
      <c r="M174">
        <f t="shared" si="29"/>
        <v>0</v>
      </c>
    </row>
    <row r="175" spans="1:13" x14ac:dyDescent="0.25">
      <c r="A175" t="str">
        <f>MTO_RAW!A175</f>
        <v>PL12*269</v>
      </c>
      <c r="B175">
        <f>MTO_RAW!C175</f>
        <v>4</v>
      </c>
      <c r="C175">
        <f>MTO_RAW!D175</f>
        <v>460</v>
      </c>
      <c r="D175">
        <f t="shared" si="20"/>
        <v>0</v>
      </c>
      <c r="E175">
        <f t="shared" si="21"/>
        <v>0</v>
      </c>
      <c r="F175">
        <f t="shared" si="22"/>
        <v>0</v>
      </c>
      <c r="G175">
        <f t="shared" si="23"/>
        <v>0</v>
      </c>
      <c r="H175">
        <f t="shared" si="24"/>
        <v>0</v>
      </c>
      <c r="I175">
        <f t="shared" si="25"/>
        <v>69</v>
      </c>
      <c r="J175">
        <f t="shared" si="26"/>
        <v>0</v>
      </c>
      <c r="K175">
        <f t="shared" si="27"/>
        <v>0</v>
      </c>
      <c r="L175">
        <f t="shared" si="28"/>
        <v>0</v>
      </c>
      <c r="M175">
        <f t="shared" si="29"/>
        <v>0</v>
      </c>
    </row>
    <row r="176" spans="1:13" x14ac:dyDescent="0.25">
      <c r="A176" t="str">
        <f>MTO_RAW!A176</f>
        <v>PL16*130</v>
      </c>
      <c r="B176">
        <f>MTO_RAW!C176</f>
        <v>16</v>
      </c>
      <c r="C176">
        <f>MTO_RAW!D176</f>
        <v>900</v>
      </c>
      <c r="D176">
        <f t="shared" si="20"/>
        <v>0</v>
      </c>
      <c r="E176">
        <f t="shared" si="21"/>
        <v>0</v>
      </c>
      <c r="F176">
        <f t="shared" si="22"/>
        <v>0</v>
      </c>
      <c r="G176">
        <f t="shared" si="23"/>
        <v>0</v>
      </c>
      <c r="H176">
        <f t="shared" si="24"/>
        <v>0</v>
      </c>
      <c r="I176">
        <f t="shared" si="25"/>
        <v>30</v>
      </c>
      <c r="J176">
        <f t="shared" si="26"/>
        <v>0</v>
      </c>
      <c r="K176">
        <f t="shared" si="27"/>
        <v>0</v>
      </c>
      <c r="L176">
        <f t="shared" si="28"/>
        <v>0</v>
      </c>
      <c r="M176">
        <f t="shared" si="29"/>
        <v>0</v>
      </c>
    </row>
    <row r="177" spans="1:13" x14ac:dyDescent="0.25">
      <c r="A177" t="str">
        <f>MTO_RAW!A177</f>
        <v>PL16*142.5</v>
      </c>
      <c r="B177">
        <f>MTO_RAW!C177</f>
        <v>16</v>
      </c>
      <c r="C177">
        <f>MTO_RAW!D177</f>
        <v>900</v>
      </c>
      <c r="D177">
        <f t="shared" si="20"/>
        <v>0</v>
      </c>
      <c r="E177">
        <f t="shared" si="21"/>
        <v>0</v>
      </c>
      <c r="F177">
        <f t="shared" si="22"/>
        <v>0</v>
      </c>
      <c r="G177">
        <f t="shared" si="23"/>
        <v>0</v>
      </c>
      <c r="H177">
        <f t="shared" si="24"/>
        <v>0</v>
      </c>
      <c r="I177">
        <f t="shared" si="25"/>
        <v>0.5</v>
      </c>
      <c r="J177">
        <f t="shared" si="26"/>
        <v>0</v>
      </c>
      <c r="K177">
        <f t="shared" si="27"/>
        <v>0</v>
      </c>
      <c r="L177">
        <f t="shared" si="28"/>
        <v>0</v>
      </c>
      <c r="M177">
        <f t="shared" si="29"/>
        <v>0</v>
      </c>
    </row>
    <row r="178" spans="1:13" x14ac:dyDescent="0.25">
      <c r="A178" t="str">
        <f>MTO_RAW!A178</f>
        <v>PL16*198</v>
      </c>
      <c r="B178">
        <f>MTO_RAW!C178</f>
        <v>8</v>
      </c>
      <c r="C178">
        <f>MTO_RAW!D178</f>
        <v>550</v>
      </c>
      <c r="D178">
        <f t="shared" si="20"/>
        <v>0</v>
      </c>
      <c r="E178">
        <f t="shared" si="21"/>
        <v>0</v>
      </c>
      <c r="F178">
        <f t="shared" si="22"/>
        <v>0</v>
      </c>
      <c r="G178">
        <f t="shared" si="23"/>
        <v>0</v>
      </c>
      <c r="H178">
        <f t="shared" si="24"/>
        <v>0</v>
      </c>
      <c r="I178">
        <f t="shared" si="25"/>
        <v>98</v>
      </c>
      <c r="J178">
        <f t="shared" si="26"/>
        <v>0</v>
      </c>
      <c r="K178">
        <f t="shared" si="27"/>
        <v>0</v>
      </c>
      <c r="L178">
        <f t="shared" si="28"/>
        <v>0</v>
      </c>
      <c r="M178">
        <f t="shared" si="29"/>
        <v>0</v>
      </c>
    </row>
    <row r="179" spans="1:13" x14ac:dyDescent="0.25">
      <c r="A179" t="str">
        <f>MTO_RAW!A179</f>
        <v>PL16*207</v>
      </c>
      <c r="B179">
        <f>MTO_RAW!C179</f>
        <v>6</v>
      </c>
      <c r="C179">
        <f>MTO_RAW!D179</f>
        <v>295</v>
      </c>
      <c r="D179">
        <f t="shared" si="20"/>
        <v>0</v>
      </c>
      <c r="E179">
        <f t="shared" si="21"/>
        <v>0</v>
      </c>
      <c r="F179">
        <f t="shared" si="22"/>
        <v>0</v>
      </c>
      <c r="G179">
        <f t="shared" si="23"/>
        <v>0</v>
      </c>
      <c r="H179">
        <f t="shared" si="24"/>
        <v>0</v>
      </c>
      <c r="I179">
        <f t="shared" si="25"/>
        <v>7</v>
      </c>
      <c r="J179">
        <f t="shared" si="26"/>
        <v>0</v>
      </c>
      <c r="K179">
        <f t="shared" si="27"/>
        <v>0</v>
      </c>
      <c r="L179">
        <f t="shared" si="28"/>
        <v>0</v>
      </c>
      <c r="M179">
        <f t="shared" si="29"/>
        <v>0</v>
      </c>
    </row>
    <row r="180" spans="1:13" x14ac:dyDescent="0.25">
      <c r="A180" t="str">
        <f>MTO_RAW!A180</f>
        <v>PL16*218</v>
      </c>
      <c r="B180">
        <f>MTO_RAW!C180</f>
        <v>8</v>
      </c>
      <c r="C180">
        <f>MTO_RAW!D180</f>
        <v>325</v>
      </c>
      <c r="D180">
        <f t="shared" si="20"/>
        <v>0</v>
      </c>
      <c r="E180">
        <f t="shared" si="21"/>
        <v>0</v>
      </c>
      <c r="F180">
        <f t="shared" si="22"/>
        <v>0</v>
      </c>
      <c r="G180">
        <f t="shared" si="23"/>
        <v>0</v>
      </c>
      <c r="H180">
        <f t="shared" si="24"/>
        <v>0</v>
      </c>
      <c r="I180">
        <f t="shared" si="25"/>
        <v>18</v>
      </c>
      <c r="J180">
        <f t="shared" si="26"/>
        <v>0</v>
      </c>
      <c r="K180">
        <f t="shared" si="27"/>
        <v>0</v>
      </c>
      <c r="L180">
        <f t="shared" si="28"/>
        <v>0</v>
      </c>
      <c r="M180">
        <f t="shared" si="29"/>
        <v>0</v>
      </c>
    </row>
    <row r="181" spans="1:13" x14ac:dyDescent="0.25">
      <c r="A181" t="str">
        <f>MTO_RAW!A181</f>
        <v>PL16*248</v>
      </c>
      <c r="B181">
        <f>MTO_RAW!C181</f>
        <v>8</v>
      </c>
      <c r="C181">
        <f>MTO_RAW!D181</f>
        <v>500</v>
      </c>
      <c r="D181">
        <f t="shared" si="20"/>
        <v>0</v>
      </c>
      <c r="E181">
        <f t="shared" si="21"/>
        <v>0</v>
      </c>
      <c r="F181">
        <f t="shared" si="22"/>
        <v>0</v>
      </c>
      <c r="G181">
        <f t="shared" si="23"/>
        <v>0</v>
      </c>
      <c r="H181">
        <f t="shared" si="24"/>
        <v>0</v>
      </c>
      <c r="I181">
        <f t="shared" si="25"/>
        <v>48</v>
      </c>
      <c r="J181">
        <f t="shared" si="26"/>
        <v>0</v>
      </c>
      <c r="K181">
        <f t="shared" si="27"/>
        <v>0</v>
      </c>
      <c r="L181">
        <f t="shared" si="28"/>
        <v>0</v>
      </c>
      <c r="M181">
        <f t="shared" si="29"/>
        <v>0</v>
      </c>
    </row>
    <row r="182" spans="1:13" x14ac:dyDescent="0.25">
      <c r="A182" t="str">
        <f>MTO_RAW!A182</f>
        <v>PL16*250</v>
      </c>
      <c r="B182">
        <f>MTO_RAW!C182</f>
        <v>8</v>
      </c>
      <c r="C182">
        <f>MTO_RAW!D182</f>
        <v>700</v>
      </c>
      <c r="D182">
        <f t="shared" si="20"/>
        <v>0</v>
      </c>
      <c r="E182">
        <f t="shared" si="21"/>
        <v>0</v>
      </c>
      <c r="F182">
        <f t="shared" si="22"/>
        <v>0</v>
      </c>
      <c r="G182">
        <f t="shared" si="23"/>
        <v>0</v>
      </c>
      <c r="H182">
        <f t="shared" si="24"/>
        <v>0</v>
      </c>
      <c r="I182">
        <f t="shared" si="25"/>
        <v>50</v>
      </c>
      <c r="J182">
        <f t="shared" si="26"/>
        <v>0</v>
      </c>
      <c r="K182">
        <f t="shared" si="27"/>
        <v>0</v>
      </c>
      <c r="L182">
        <f t="shared" si="28"/>
        <v>0</v>
      </c>
      <c r="M182">
        <f t="shared" si="29"/>
        <v>0</v>
      </c>
    </row>
    <row r="183" spans="1:13" x14ac:dyDescent="0.25">
      <c r="A183" t="str">
        <f>MTO_RAW!A183</f>
        <v>PL16*273.4</v>
      </c>
      <c r="B183">
        <f>MTO_RAW!C183</f>
        <v>4</v>
      </c>
      <c r="C183">
        <f>MTO_RAW!D183</f>
        <v>349</v>
      </c>
      <c r="D183">
        <f t="shared" si="20"/>
        <v>0</v>
      </c>
      <c r="E183">
        <f t="shared" si="21"/>
        <v>0</v>
      </c>
      <c r="F183">
        <f t="shared" si="22"/>
        <v>0</v>
      </c>
      <c r="G183">
        <f t="shared" si="23"/>
        <v>0</v>
      </c>
      <c r="H183">
        <f t="shared" si="24"/>
        <v>0</v>
      </c>
      <c r="I183">
        <f t="shared" si="25"/>
        <v>0.4</v>
      </c>
      <c r="J183">
        <f t="shared" si="26"/>
        <v>0</v>
      </c>
      <c r="K183">
        <f t="shared" si="27"/>
        <v>0</v>
      </c>
      <c r="L183">
        <f t="shared" si="28"/>
        <v>0</v>
      </c>
      <c r="M183">
        <f t="shared" si="29"/>
        <v>0</v>
      </c>
    </row>
    <row r="184" spans="1:13" x14ac:dyDescent="0.25">
      <c r="A184" t="str">
        <f>MTO_RAW!A184</f>
        <v>PL16*274</v>
      </c>
      <c r="B184">
        <f>MTO_RAW!C184</f>
        <v>8</v>
      </c>
      <c r="C184">
        <f>MTO_RAW!D184</f>
        <v>700</v>
      </c>
      <c r="D184">
        <f t="shared" si="20"/>
        <v>0</v>
      </c>
      <c r="E184">
        <f t="shared" si="21"/>
        <v>0</v>
      </c>
      <c r="F184">
        <f t="shared" si="22"/>
        <v>0</v>
      </c>
      <c r="G184">
        <f t="shared" si="23"/>
        <v>0</v>
      </c>
      <c r="H184">
        <f t="shared" si="24"/>
        <v>0</v>
      </c>
      <c r="I184">
        <f t="shared" si="25"/>
        <v>74</v>
      </c>
      <c r="J184">
        <f t="shared" si="26"/>
        <v>0</v>
      </c>
      <c r="K184">
        <f t="shared" si="27"/>
        <v>0</v>
      </c>
      <c r="L184">
        <f t="shared" si="28"/>
        <v>0</v>
      </c>
      <c r="M184">
        <f t="shared" si="29"/>
        <v>0</v>
      </c>
    </row>
    <row r="185" spans="1:13" x14ac:dyDescent="0.25">
      <c r="A185" t="str">
        <f>MTO_RAW!A185</f>
        <v>PL16*280</v>
      </c>
      <c r="B185">
        <f>MTO_RAW!C185</f>
        <v>8</v>
      </c>
      <c r="C185">
        <f>MTO_RAW!D185</f>
        <v>700</v>
      </c>
      <c r="D185">
        <f t="shared" si="20"/>
        <v>0</v>
      </c>
      <c r="E185">
        <f t="shared" si="21"/>
        <v>0</v>
      </c>
      <c r="F185">
        <f t="shared" si="22"/>
        <v>0</v>
      </c>
      <c r="G185">
        <f t="shared" si="23"/>
        <v>0</v>
      </c>
      <c r="H185">
        <f t="shared" si="24"/>
        <v>0</v>
      </c>
      <c r="I185">
        <f t="shared" si="25"/>
        <v>80</v>
      </c>
      <c r="J185">
        <f t="shared" si="26"/>
        <v>0</v>
      </c>
      <c r="K185">
        <f t="shared" si="27"/>
        <v>0</v>
      </c>
      <c r="L185">
        <f t="shared" si="28"/>
        <v>0</v>
      </c>
      <c r="M185">
        <f t="shared" si="29"/>
        <v>0</v>
      </c>
    </row>
    <row r="186" spans="1:13" x14ac:dyDescent="0.25">
      <c r="A186" t="str">
        <f>MTO_RAW!A186</f>
        <v>PL16*285</v>
      </c>
      <c r="B186">
        <f>MTO_RAW!C186</f>
        <v>6</v>
      </c>
      <c r="C186">
        <f>MTO_RAW!D186</f>
        <v>430</v>
      </c>
      <c r="D186">
        <f t="shared" si="20"/>
        <v>0</v>
      </c>
      <c r="E186">
        <f t="shared" si="21"/>
        <v>0</v>
      </c>
      <c r="F186">
        <f t="shared" si="22"/>
        <v>0</v>
      </c>
      <c r="G186">
        <f t="shared" si="23"/>
        <v>0</v>
      </c>
      <c r="H186">
        <f t="shared" si="24"/>
        <v>0</v>
      </c>
      <c r="I186">
        <f t="shared" si="25"/>
        <v>85</v>
      </c>
      <c r="J186">
        <f t="shared" si="26"/>
        <v>0</v>
      </c>
      <c r="K186">
        <f t="shared" si="27"/>
        <v>0</v>
      </c>
      <c r="L186">
        <f t="shared" si="28"/>
        <v>0</v>
      </c>
      <c r="M186">
        <f t="shared" si="29"/>
        <v>0</v>
      </c>
    </row>
    <row r="187" spans="1:13" x14ac:dyDescent="0.25">
      <c r="A187" t="str">
        <f>MTO_RAW!A187</f>
        <v>PL16*288.5</v>
      </c>
      <c r="B187">
        <f>MTO_RAW!C187</f>
        <v>16</v>
      </c>
      <c r="C187">
        <f>MTO_RAW!D187</f>
        <v>900</v>
      </c>
      <c r="D187">
        <f t="shared" si="20"/>
        <v>0</v>
      </c>
      <c r="E187">
        <f t="shared" si="21"/>
        <v>0</v>
      </c>
      <c r="F187">
        <f t="shared" si="22"/>
        <v>0</v>
      </c>
      <c r="G187">
        <f t="shared" si="23"/>
        <v>0</v>
      </c>
      <c r="H187">
        <f t="shared" si="24"/>
        <v>0</v>
      </c>
      <c r="I187">
        <f t="shared" si="25"/>
        <v>0.5</v>
      </c>
      <c r="J187">
        <f t="shared" si="26"/>
        <v>0</v>
      </c>
      <c r="K187">
        <f t="shared" si="27"/>
        <v>0</v>
      </c>
      <c r="L187">
        <f t="shared" si="28"/>
        <v>0</v>
      </c>
      <c r="M187">
        <f t="shared" si="29"/>
        <v>0</v>
      </c>
    </row>
    <row r="188" spans="1:13" x14ac:dyDescent="0.25">
      <c r="A188" t="str">
        <f>MTO_RAW!A188</f>
        <v>PL16*298</v>
      </c>
      <c r="B188">
        <f>MTO_RAW!C188</f>
        <v>16</v>
      </c>
      <c r="C188">
        <f>MTO_RAW!D188</f>
        <v>898</v>
      </c>
      <c r="D188">
        <f t="shared" si="20"/>
        <v>0</v>
      </c>
      <c r="E188">
        <f t="shared" si="21"/>
        <v>0</v>
      </c>
      <c r="F188">
        <f t="shared" si="22"/>
        <v>0</v>
      </c>
      <c r="G188">
        <f t="shared" si="23"/>
        <v>0</v>
      </c>
      <c r="H188">
        <f t="shared" si="24"/>
        <v>0</v>
      </c>
      <c r="I188">
        <f t="shared" si="25"/>
        <v>98</v>
      </c>
      <c r="J188">
        <f t="shared" si="26"/>
        <v>0</v>
      </c>
      <c r="K188">
        <f t="shared" si="27"/>
        <v>0</v>
      </c>
      <c r="L188">
        <f t="shared" si="28"/>
        <v>0</v>
      </c>
      <c r="M188">
        <f t="shared" si="29"/>
        <v>0</v>
      </c>
    </row>
    <row r="189" spans="1:13" x14ac:dyDescent="0.25">
      <c r="A189" t="str">
        <f>MTO_RAW!A189</f>
        <v>PL16*300</v>
      </c>
      <c r="B189">
        <f>MTO_RAW!C189</f>
        <v>8</v>
      </c>
      <c r="C189">
        <f>MTO_RAW!D189</f>
        <v>500</v>
      </c>
      <c r="D189">
        <f t="shared" si="20"/>
        <v>0</v>
      </c>
      <c r="E189">
        <f t="shared" si="21"/>
        <v>0</v>
      </c>
      <c r="F189">
        <f t="shared" si="22"/>
        <v>0</v>
      </c>
      <c r="G189">
        <f t="shared" si="23"/>
        <v>0</v>
      </c>
      <c r="H189">
        <f t="shared" si="24"/>
        <v>0</v>
      </c>
      <c r="I189">
        <f t="shared" si="25"/>
        <v>0</v>
      </c>
      <c r="J189">
        <f t="shared" si="26"/>
        <v>0</v>
      </c>
      <c r="K189">
        <f t="shared" si="27"/>
        <v>0</v>
      </c>
      <c r="L189">
        <f t="shared" si="28"/>
        <v>0</v>
      </c>
      <c r="M189">
        <f t="shared" si="29"/>
        <v>0</v>
      </c>
    </row>
    <row r="190" spans="1:13" x14ac:dyDescent="0.25">
      <c r="A190" t="str">
        <f>MTO_RAW!A190</f>
        <v>PL16*300</v>
      </c>
      <c r="B190">
        <f>MTO_RAW!C190</f>
        <v>16</v>
      </c>
      <c r="C190">
        <f>MTO_RAW!D190</f>
        <v>600</v>
      </c>
      <c r="D190">
        <f t="shared" si="20"/>
        <v>0</v>
      </c>
      <c r="E190">
        <f t="shared" si="21"/>
        <v>0</v>
      </c>
      <c r="F190">
        <f t="shared" si="22"/>
        <v>0</v>
      </c>
      <c r="G190">
        <f t="shared" si="23"/>
        <v>0</v>
      </c>
      <c r="H190">
        <f t="shared" si="24"/>
        <v>0</v>
      </c>
      <c r="I190">
        <f t="shared" si="25"/>
        <v>0</v>
      </c>
      <c r="J190">
        <f t="shared" si="26"/>
        <v>0</v>
      </c>
      <c r="K190">
        <f t="shared" si="27"/>
        <v>0</v>
      </c>
      <c r="L190">
        <f t="shared" si="28"/>
        <v>0</v>
      </c>
      <c r="M190">
        <f t="shared" si="29"/>
        <v>0</v>
      </c>
    </row>
    <row r="191" spans="1:13" x14ac:dyDescent="0.25">
      <c r="A191" t="str">
        <f>MTO_RAW!A191</f>
        <v>PL16*320</v>
      </c>
      <c r="B191">
        <f>MTO_RAW!C191</f>
        <v>8</v>
      </c>
      <c r="C191">
        <f>MTO_RAW!D191</f>
        <v>500</v>
      </c>
      <c r="D191">
        <f t="shared" si="20"/>
        <v>0</v>
      </c>
      <c r="E191">
        <f t="shared" si="21"/>
        <v>0</v>
      </c>
      <c r="F191">
        <f t="shared" si="22"/>
        <v>0</v>
      </c>
      <c r="G191">
        <f t="shared" si="23"/>
        <v>0</v>
      </c>
      <c r="H191">
        <f t="shared" si="24"/>
        <v>0</v>
      </c>
      <c r="I191">
        <f t="shared" si="25"/>
        <v>20</v>
      </c>
      <c r="J191">
        <f t="shared" si="26"/>
        <v>0</v>
      </c>
      <c r="K191">
        <f t="shared" si="27"/>
        <v>0</v>
      </c>
      <c r="L191">
        <f t="shared" si="28"/>
        <v>0</v>
      </c>
      <c r="M191">
        <f t="shared" si="29"/>
        <v>0</v>
      </c>
    </row>
    <row r="192" spans="1:13" x14ac:dyDescent="0.25">
      <c r="A192" t="str">
        <f>MTO_RAW!A192</f>
        <v>PL16*330</v>
      </c>
      <c r="B192">
        <f>MTO_RAW!C192</f>
        <v>16</v>
      </c>
      <c r="C192">
        <f>MTO_RAW!D192</f>
        <v>900</v>
      </c>
      <c r="D192">
        <f t="shared" si="20"/>
        <v>0</v>
      </c>
      <c r="E192">
        <f t="shared" si="21"/>
        <v>0</v>
      </c>
      <c r="F192">
        <f t="shared" si="22"/>
        <v>0</v>
      </c>
      <c r="G192">
        <f t="shared" si="23"/>
        <v>0</v>
      </c>
      <c r="H192">
        <f t="shared" si="24"/>
        <v>0</v>
      </c>
      <c r="I192">
        <f t="shared" si="25"/>
        <v>30</v>
      </c>
      <c r="J192">
        <f t="shared" si="26"/>
        <v>0</v>
      </c>
      <c r="K192">
        <f t="shared" si="27"/>
        <v>0</v>
      </c>
      <c r="L192">
        <f t="shared" si="28"/>
        <v>0</v>
      </c>
      <c r="M192">
        <f t="shared" si="29"/>
        <v>0</v>
      </c>
    </row>
    <row r="193" spans="1:13" x14ac:dyDescent="0.25">
      <c r="A193" t="str">
        <f>MTO_RAW!A193</f>
        <v>PL16*335.3</v>
      </c>
      <c r="B193">
        <f>MTO_RAW!C193</f>
        <v>6</v>
      </c>
      <c r="C193">
        <f>MTO_RAW!D193</f>
        <v>568</v>
      </c>
      <c r="D193">
        <f t="shared" si="20"/>
        <v>0</v>
      </c>
      <c r="E193">
        <f t="shared" si="21"/>
        <v>0</v>
      </c>
      <c r="F193">
        <f t="shared" si="22"/>
        <v>0</v>
      </c>
      <c r="G193">
        <f t="shared" si="23"/>
        <v>0</v>
      </c>
      <c r="H193">
        <f t="shared" si="24"/>
        <v>0</v>
      </c>
      <c r="I193">
        <f t="shared" si="25"/>
        <v>0.3</v>
      </c>
      <c r="J193">
        <f t="shared" si="26"/>
        <v>0</v>
      </c>
      <c r="K193">
        <f t="shared" si="27"/>
        <v>0</v>
      </c>
      <c r="L193">
        <f t="shared" si="28"/>
        <v>0</v>
      </c>
      <c r="M193">
        <f t="shared" si="29"/>
        <v>0</v>
      </c>
    </row>
    <row r="194" spans="1:13" x14ac:dyDescent="0.25">
      <c r="A194" t="str">
        <f>MTO_RAW!A194</f>
        <v>PL16*349</v>
      </c>
      <c r="B194">
        <f>MTO_RAW!C194</f>
        <v>6</v>
      </c>
      <c r="C194">
        <f>MTO_RAW!D194</f>
        <v>694</v>
      </c>
      <c r="D194">
        <f t="shared" ref="D194:D257" si="30">IFERROR(VALUE(LEFT(A194,FIND("*",A194)-1)),0)</f>
        <v>0</v>
      </c>
      <c r="E194">
        <f t="shared" ref="E194:E257" si="31">IFERROR(VALUE(MID(A194,FIND("*",A194)+1,FIND("-",A194)-FIND("*",A194)-1)),0)</f>
        <v>0</v>
      </c>
      <c r="F194">
        <f t="shared" ref="F194:F257" si="32">IFERROR(VALUE(MID(A194,FIND("-",A194)+1,FIND("*",A194,FIND("-",A194))-FIND("-",A194)-1)),0)</f>
        <v>0</v>
      </c>
      <c r="G194">
        <f t="shared" ref="G194:G257" si="33">IFERROR(VALUE(MID(A194,FIND("*",A194,FIND("-",A194))+1,10)),0)</f>
        <v>0</v>
      </c>
      <c r="H194">
        <f t="shared" ref="H194:H257" si="34">IFERROR(VALUE(MID(A194,FIND("-",A194,FIND("-",A194)+1)+1,5)),D194)</f>
        <v>0</v>
      </c>
      <c r="I194">
        <f t="shared" ref="I194:I257" si="35">IFERROR(VALUE(RIGHT(A194,2)),E194)</f>
        <v>49</v>
      </c>
      <c r="J194">
        <f t="shared" ref="J194:J257" si="36">IF(E194=16,(D194/1000)*(C194/1000)*(16/1000)*7850*B194,0)+IF(I194=16,(H194/1000)*(C194/1000)*(16/1000)*7850*B194,0)+IF(G194=16,(F194/1000)*(C194/1000)*(16/1000)*7850*B194,0)</f>
        <v>0</v>
      </c>
      <c r="K194">
        <f t="shared" ref="K194:K257" si="37">IF(E194=20,(D194/1000)*(C194/1000)*(20/1000)*7850*B194,0)+IF(I194=20,(H194/1000)*(C194/1000)*(20/1000)*7850*B194,0)+IF(G194=20,(F194/1000)*(C194/1000)*(20/1000)*7850*B194,0)</f>
        <v>0</v>
      </c>
      <c r="L194">
        <f t="shared" ref="L194:L257" si="38">IF(E194=32,(D194/1000)*(C194/1000)*(32/1000)*7850*B194,0)+IF(I194=32,(H194/1000)*(C194/1000)*(32/1000)*7850*B194,0)+IF(G194=32,(F194/1000)*(C194/1000)*(32/1000)*7850*B194,0)</f>
        <v>0</v>
      </c>
      <c r="M194">
        <f t="shared" ref="M194:M257" si="39">IF(E194=40,(D194/1000)*(C194/1000)*(40/1000)*7850*B194,0)+IF(I194=40,(H194/1000)*(C194/1000)*(40/1000)*7850*B194,0)+IF(G194=40,(F194/1000)*(C194/1000)*(40/1000)*7850*B194,0)</f>
        <v>0</v>
      </c>
    </row>
    <row r="195" spans="1:13" x14ac:dyDescent="0.25">
      <c r="A195" t="str">
        <f>MTO_RAW!A195</f>
        <v>PL16*350</v>
      </c>
      <c r="B195">
        <f>MTO_RAW!C195</f>
        <v>8</v>
      </c>
      <c r="C195">
        <f>MTO_RAW!D195</f>
        <v>550</v>
      </c>
      <c r="D195">
        <f t="shared" si="30"/>
        <v>0</v>
      </c>
      <c r="E195">
        <f t="shared" si="31"/>
        <v>0</v>
      </c>
      <c r="F195">
        <f t="shared" si="32"/>
        <v>0</v>
      </c>
      <c r="G195">
        <f t="shared" si="33"/>
        <v>0</v>
      </c>
      <c r="H195">
        <f t="shared" si="34"/>
        <v>0</v>
      </c>
      <c r="I195">
        <f t="shared" si="35"/>
        <v>50</v>
      </c>
      <c r="J195">
        <f t="shared" si="36"/>
        <v>0</v>
      </c>
      <c r="K195">
        <f t="shared" si="37"/>
        <v>0</v>
      </c>
      <c r="L195">
        <f t="shared" si="38"/>
        <v>0</v>
      </c>
      <c r="M195">
        <f t="shared" si="39"/>
        <v>0</v>
      </c>
    </row>
    <row r="196" spans="1:13" x14ac:dyDescent="0.25">
      <c r="A196" t="str">
        <f>MTO_RAW!A196</f>
        <v>PL16*359.9</v>
      </c>
      <c r="B196">
        <f>MTO_RAW!C196</f>
        <v>2</v>
      </c>
      <c r="C196">
        <f>MTO_RAW!D196</f>
        <v>586</v>
      </c>
      <c r="D196">
        <f t="shared" si="30"/>
        <v>0</v>
      </c>
      <c r="E196">
        <f t="shared" si="31"/>
        <v>0</v>
      </c>
      <c r="F196">
        <f t="shared" si="32"/>
        <v>0</v>
      </c>
      <c r="G196">
        <f t="shared" si="33"/>
        <v>0</v>
      </c>
      <c r="H196">
        <f t="shared" si="34"/>
        <v>0</v>
      </c>
      <c r="I196">
        <f t="shared" si="35"/>
        <v>0.9</v>
      </c>
      <c r="J196">
        <f t="shared" si="36"/>
        <v>0</v>
      </c>
      <c r="K196">
        <f t="shared" si="37"/>
        <v>0</v>
      </c>
      <c r="L196">
        <f t="shared" si="38"/>
        <v>0</v>
      </c>
      <c r="M196">
        <f t="shared" si="39"/>
        <v>0</v>
      </c>
    </row>
    <row r="197" spans="1:13" x14ac:dyDescent="0.25">
      <c r="A197" t="str">
        <f>MTO_RAW!A197</f>
        <v>PL16*374</v>
      </c>
      <c r="B197">
        <f>MTO_RAW!C197</f>
        <v>8</v>
      </c>
      <c r="C197">
        <f>MTO_RAW!D197</f>
        <v>550</v>
      </c>
      <c r="D197">
        <f t="shared" si="30"/>
        <v>0</v>
      </c>
      <c r="E197">
        <f t="shared" si="31"/>
        <v>0</v>
      </c>
      <c r="F197">
        <f t="shared" si="32"/>
        <v>0</v>
      </c>
      <c r="G197">
        <f t="shared" si="33"/>
        <v>0</v>
      </c>
      <c r="H197">
        <f t="shared" si="34"/>
        <v>0</v>
      </c>
      <c r="I197">
        <f t="shared" si="35"/>
        <v>74</v>
      </c>
      <c r="J197">
        <f t="shared" si="36"/>
        <v>0</v>
      </c>
      <c r="K197">
        <f t="shared" si="37"/>
        <v>0</v>
      </c>
      <c r="L197">
        <f t="shared" si="38"/>
        <v>0</v>
      </c>
      <c r="M197">
        <f t="shared" si="39"/>
        <v>0</v>
      </c>
    </row>
    <row r="198" spans="1:13" x14ac:dyDescent="0.25">
      <c r="A198" t="str">
        <f>MTO_RAW!A198</f>
        <v>PL16*410.5</v>
      </c>
      <c r="B198">
        <f>MTO_RAW!C198</f>
        <v>16</v>
      </c>
      <c r="C198">
        <f>MTO_RAW!D198</f>
        <v>900</v>
      </c>
      <c r="D198">
        <f t="shared" si="30"/>
        <v>0</v>
      </c>
      <c r="E198">
        <f t="shared" si="31"/>
        <v>0</v>
      </c>
      <c r="F198">
        <f t="shared" si="32"/>
        <v>0</v>
      </c>
      <c r="G198">
        <f t="shared" si="33"/>
        <v>0</v>
      </c>
      <c r="H198">
        <f t="shared" si="34"/>
        <v>0</v>
      </c>
      <c r="I198">
        <f t="shared" si="35"/>
        <v>0.5</v>
      </c>
      <c r="J198">
        <f t="shared" si="36"/>
        <v>0</v>
      </c>
      <c r="K198">
        <f t="shared" si="37"/>
        <v>0</v>
      </c>
      <c r="L198">
        <f t="shared" si="38"/>
        <v>0</v>
      </c>
      <c r="M198">
        <f t="shared" si="39"/>
        <v>0</v>
      </c>
    </row>
    <row r="199" spans="1:13" x14ac:dyDescent="0.25">
      <c r="A199" t="str">
        <f>MTO_RAW!A199</f>
        <v>PL16*609</v>
      </c>
      <c r="B199">
        <f>MTO_RAW!C199</f>
        <v>8</v>
      </c>
      <c r="C199">
        <f>MTO_RAW!D199</f>
        <v>900</v>
      </c>
      <c r="D199">
        <f t="shared" si="30"/>
        <v>0</v>
      </c>
      <c r="E199">
        <f t="shared" si="31"/>
        <v>0</v>
      </c>
      <c r="F199">
        <f t="shared" si="32"/>
        <v>0</v>
      </c>
      <c r="G199">
        <f t="shared" si="33"/>
        <v>0</v>
      </c>
      <c r="H199">
        <f t="shared" si="34"/>
        <v>0</v>
      </c>
      <c r="I199">
        <f t="shared" si="35"/>
        <v>9</v>
      </c>
      <c r="J199">
        <f t="shared" si="36"/>
        <v>0</v>
      </c>
      <c r="K199">
        <f t="shared" si="37"/>
        <v>0</v>
      </c>
      <c r="L199">
        <f t="shared" si="38"/>
        <v>0</v>
      </c>
      <c r="M199">
        <f t="shared" si="39"/>
        <v>0</v>
      </c>
    </row>
    <row r="200" spans="1:13" x14ac:dyDescent="0.25">
      <c r="A200" t="str">
        <f>MTO_RAW!A200</f>
        <v>PL20*190.3</v>
      </c>
      <c r="B200">
        <f>MTO_RAW!C200</f>
        <v>4</v>
      </c>
      <c r="C200">
        <f>MTO_RAW!D200</f>
        <v>285</v>
      </c>
      <c r="D200">
        <f t="shared" si="30"/>
        <v>0</v>
      </c>
      <c r="E200">
        <f t="shared" si="31"/>
        <v>0</v>
      </c>
      <c r="F200">
        <f t="shared" si="32"/>
        <v>0</v>
      </c>
      <c r="G200">
        <f t="shared" si="33"/>
        <v>0</v>
      </c>
      <c r="H200">
        <f t="shared" si="34"/>
        <v>0</v>
      </c>
      <c r="I200">
        <f t="shared" si="35"/>
        <v>0.3</v>
      </c>
      <c r="J200">
        <f t="shared" si="36"/>
        <v>0</v>
      </c>
      <c r="K200">
        <f t="shared" si="37"/>
        <v>0</v>
      </c>
      <c r="L200">
        <f t="shared" si="38"/>
        <v>0</v>
      </c>
      <c r="M200">
        <f t="shared" si="39"/>
        <v>0</v>
      </c>
    </row>
    <row r="201" spans="1:13" x14ac:dyDescent="0.25">
      <c r="A201" t="str">
        <f>MTO_RAW!A201</f>
        <v>PL20*260</v>
      </c>
      <c r="B201">
        <f>MTO_RAW!C201</f>
        <v>2</v>
      </c>
      <c r="C201">
        <f>MTO_RAW!D201</f>
        <v>292</v>
      </c>
      <c r="D201">
        <f t="shared" si="30"/>
        <v>0</v>
      </c>
      <c r="E201">
        <f t="shared" si="31"/>
        <v>0</v>
      </c>
      <c r="F201">
        <f t="shared" si="32"/>
        <v>0</v>
      </c>
      <c r="G201">
        <f t="shared" si="33"/>
        <v>0</v>
      </c>
      <c r="H201">
        <f t="shared" si="34"/>
        <v>0</v>
      </c>
      <c r="I201">
        <f t="shared" si="35"/>
        <v>60</v>
      </c>
      <c r="J201">
        <f t="shared" si="36"/>
        <v>0</v>
      </c>
      <c r="K201">
        <f t="shared" si="37"/>
        <v>0</v>
      </c>
      <c r="L201">
        <f t="shared" si="38"/>
        <v>0</v>
      </c>
      <c r="M201">
        <f t="shared" si="39"/>
        <v>0</v>
      </c>
    </row>
    <row r="202" spans="1:13" x14ac:dyDescent="0.25">
      <c r="A202" t="str">
        <f>MTO_RAW!A202</f>
        <v>PL20*316.9</v>
      </c>
      <c r="B202">
        <f>MTO_RAW!C202</f>
        <v>16</v>
      </c>
      <c r="C202">
        <f>MTO_RAW!D202</f>
        <v>531</v>
      </c>
      <c r="D202">
        <f t="shared" si="30"/>
        <v>0</v>
      </c>
      <c r="E202">
        <f t="shared" si="31"/>
        <v>0</v>
      </c>
      <c r="F202">
        <f t="shared" si="32"/>
        <v>0</v>
      </c>
      <c r="G202">
        <f t="shared" si="33"/>
        <v>0</v>
      </c>
      <c r="H202">
        <f t="shared" si="34"/>
        <v>0</v>
      </c>
      <c r="I202">
        <f t="shared" si="35"/>
        <v>0.9</v>
      </c>
      <c r="J202">
        <f t="shared" si="36"/>
        <v>0</v>
      </c>
      <c r="K202">
        <f t="shared" si="37"/>
        <v>0</v>
      </c>
      <c r="L202">
        <f t="shared" si="38"/>
        <v>0</v>
      </c>
      <c r="M202">
        <f t="shared" si="39"/>
        <v>0</v>
      </c>
    </row>
    <row r="203" spans="1:13" x14ac:dyDescent="0.25">
      <c r="A203" t="str">
        <f>MTO_RAW!A203</f>
        <v>PL20*316.9</v>
      </c>
      <c r="B203">
        <f>MTO_RAW!C203</f>
        <v>2</v>
      </c>
      <c r="C203">
        <f>MTO_RAW!D203</f>
        <v>747</v>
      </c>
      <c r="D203">
        <f t="shared" si="30"/>
        <v>0</v>
      </c>
      <c r="E203">
        <f t="shared" si="31"/>
        <v>0</v>
      </c>
      <c r="F203">
        <f t="shared" si="32"/>
        <v>0</v>
      </c>
      <c r="G203">
        <f t="shared" si="33"/>
        <v>0</v>
      </c>
      <c r="H203">
        <f t="shared" si="34"/>
        <v>0</v>
      </c>
      <c r="I203">
        <f t="shared" si="35"/>
        <v>0.9</v>
      </c>
      <c r="J203">
        <f t="shared" si="36"/>
        <v>0</v>
      </c>
      <c r="K203">
        <f t="shared" si="37"/>
        <v>0</v>
      </c>
      <c r="L203">
        <f t="shared" si="38"/>
        <v>0</v>
      </c>
      <c r="M203">
        <f t="shared" si="39"/>
        <v>0</v>
      </c>
    </row>
    <row r="204" spans="1:13" x14ac:dyDescent="0.25">
      <c r="A204" t="str">
        <f>MTO_RAW!A204</f>
        <v>PL20*321</v>
      </c>
      <c r="B204">
        <f>MTO_RAW!C204</f>
        <v>8</v>
      </c>
      <c r="C204">
        <f>MTO_RAW!D204</f>
        <v>900</v>
      </c>
      <c r="D204">
        <f t="shared" si="30"/>
        <v>0</v>
      </c>
      <c r="E204">
        <f t="shared" si="31"/>
        <v>0</v>
      </c>
      <c r="F204">
        <f t="shared" si="32"/>
        <v>0</v>
      </c>
      <c r="G204">
        <f t="shared" si="33"/>
        <v>0</v>
      </c>
      <c r="H204">
        <f t="shared" si="34"/>
        <v>0</v>
      </c>
      <c r="I204">
        <f t="shared" si="35"/>
        <v>21</v>
      </c>
      <c r="J204">
        <f t="shared" si="36"/>
        <v>0</v>
      </c>
      <c r="K204">
        <f t="shared" si="37"/>
        <v>0</v>
      </c>
      <c r="L204">
        <f t="shared" si="38"/>
        <v>0</v>
      </c>
      <c r="M204">
        <f t="shared" si="39"/>
        <v>0</v>
      </c>
    </row>
    <row r="205" spans="1:13" x14ac:dyDescent="0.25">
      <c r="A205" t="str">
        <f>MTO_RAW!A205</f>
        <v>PL20*329.4</v>
      </c>
      <c r="B205">
        <f>MTO_RAW!C205</f>
        <v>2</v>
      </c>
      <c r="C205">
        <f>MTO_RAW!D205</f>
        <v>549</v>
      </c>
      <c r="D205">
        <f t="shared" si="30"/>
        <v>0</v>
      </c>
      <c r="E205">
        <f t="shared" si="31"/>
        <v>0</v>
      </c>
      <c r="F205">
        <f t="shared" si="32"/>
        <v>0</v>
      </c>
      <c r="G205">
        <f t="shared" si="33"/>
        <v>0</v>
      </c>
      <c r="H205">
        <f t="shared" si="34"/>
        <v>0</v>
      </c>
      <c r="I205">
        <f t="shared" si="35"/>
        <v>0.4</v>
      </c>
      <c r="J205">
        <f t="shared" si="36"/>
        <v>0</v>
      </c>
      <c r="K205">
        <f t="shared" si="37"/>
        <v>0</v>
      </c>
      <c r="L205">
        <f t="shared" si="38"/>
        <v>0</v>
      </c>
      <c r="M205">
        <f t="shared" si="39"/>
        <v>0</v>
      </c>
    </row>
    <row r="206" spans="1:13" x14ac:dyDescent="0.25">
      <c r="A206" t="str">
        <f>MTO_RAW!A206</f>
        <v>PL20*348.2</v>
      </c>
      <c r="B206">
        <f>MTO_RAW!C206</f>
        <v>6</v>
      </c>
      <c r="C206">
        <f>MTO_RAW!D206</f>
        <v>576</v>
      </c>
      <c r="D206">
        <f t="shared" si="30"/>
        <v>0</v>
      </c>
      <c r="E206">
        <f t="shared" si="31"/>
        <v>0</v>
      </c>
      <c r="F206">
        <f t="shared" si="32"/>
        <v>0</v>
      </c>
      <c r="G206">
        <f t="shared" si="33"/>
        <v>0</v>
      </c>
      <c r="H206">
        <f t="shared" si="34"/>
        <v>0</v>
      </c>
      <c r="I206">
        <f t="shared" si="35"/>
        <v>0.2</v>
      </c>
      <c r="J206">
        <f t="shared" si="36"/>
        <v>0</v>
      </c>
      <c r="K206">
        <f t="shared" si="37"/>
        <v>0</v>
      </c>
      <c r="L206">
        <f t="shared" si="38"/>
        <v>0</v>
      </c>
      <c r="M206">
        <f t="shared" si="39"/>
        <v>0</v>
      </c>
    </row>
    <row r="207" spans="1:13" x14ac:dyDescent="0.25">
      <c r="A207" t="str">
        <f>MTO_RAW!A207</f>
        <v>PL20*391.9</v>
      </c>
      <c r="B207">
        <f>MTO_RAW!C207</f>
        <v>4</v>
      </c>
      <c r="C207">
        <f>MTO_RAW!D207</f>
        <v>439</v>
      </c>
      <c r="D207">
        <f t="shared" si="30"/>
        <v>0</v>
      </c>
      <c r="E207">
        <f t="shared" si="31"/>
        <v>0</v>
      </c>
      <c r="F207">
        <f t="shared" si="32"/>
        <v>0</v>
      </c>
      <c r="G207">
        <f t="shared" si="33"/>
        <v>0</v>
      </c>
      <c r="H207">
        <f t="shared" si="34"/>
        <v>0</v>
      </c>
      <c r="I207">
        <f t="shared" si="35"/>
        <v>0.9</v>
      </c>
      <c r="J207">
        <f t="shared" si="36"/>
        <v>0</v>
      </c>
      <c r="K207">
        <f t="shared" si="37"/>
        <v>0</v>
      </c>
      <c r="L207">
        <f t="shared" si="38"/>
        <v>0</v>
      </c>
      <c r="M207">
        <f t="shared" si="39"/>
        <v>0</v>
      </c>
    </row>
    <row r="208" spans="1:13" x14ac:dyDescent="0.25">
      <c r="A208" t="str">
        <f>MTO_RAW!A208</f>
        <v>PL20*410.5</v>
      </c>
      <c r="B208">
        <f>MTO_RAW!C208</f>
        <v>16</v>
      </c>
      <c r="C208">
        <f>MTO_RAW!D208</f>
        <v>900</v>
      </c>
      <c r="D208">
        <f t="shared" si="30"/>
        <v>0</v>
      </c>
      <c r="E208">
        <f t="shared" si="31"/>
        <v>0</v>
      </c>
      <c r="F208">
        <f t="shared" si="32"/>
        <v>0</v>
      </c>
      <c r="G208">
        <f t="shared" si="33"/>
        <v>0</v>
      </c>
      <c r="H208">
        <f t="shared" si="34"/>
        <v>0</v>
      </c>
      <c r="I208">
        <f t="shared" si="35"/>
        <v>0.5</v>
      </c>
      <c r="J208">
        <f t="shared" si="36"/>
        <v>0</v>
      </c>
      <c r="K208">
        <f t="shared" si="37"/>
        <v>0</v>
      </c>
      <c r="L208">
        <f t="shared" si="38"/>
        <v>0</v>
      </c>
      <c r="M208">
        <f t="shared" si="39"/>
        <v>0</v>
      </c>
    </row>
    <row r="209" spans="1:13" x14ac:dyDescent="0.25">
      <c r="A209" t="str">
        <f>MTO_RAW!A209</f>
        <v>PL20*435.5</v>
      </c>
      <c r="B209">
        <f>MTO_RAW!C209</f>
        <v>8</v>
      </c>
      <c r="C209">
        <f>MTO_RAW!D209</f>
        <v>700</v>
      </c>
      <c r="D209">
        <f t="shared" si="30"/>
        <v>0</v>
      </c>
      <c r="E209">
        <f t="shared" si="31"/>
        <v>0</v>
      </c>
      <c r="F209">
        <f t="shared" si="32"/>
        <v>0</v>
      </c>
      <c r="G209">
        <f t="shared" si="33"/>
        <v>0</v>
      </c>
      <c r="H209">
        <f t="shared" si="34"/>
        <v>0</v>
      </c>
      <c r="I209">
        <f t="shared" si="35"/>
        <v>0.5</v>
      </c>
      <c r="J209">
        <f t="shared" si="36"/>
        <v>0</v>
      </c>
      <c r="K209">
        <f t="shared" si="37"/>
        <v>0</v>
      </c>
      <c r="L209">
        <f t="shared" si="38"/>
        <v>0</v>
      </c>
      <c r="M209">
        <f t="shared" si="39"/>
        <v>0</v>
      </c>
    </row>
    <row r="210" spans="1:13" x14ac:dyDescent="0.25">
      <c r="A210" t="str">
        <f>MTO_RAW!A210</f>
        <v>PL20*438</v>
      </c>
      <c r="B210">
        <f>MTO_RAW!C210</f>
        <v>8</v>
      </c>
      <c r="C210">
        <f>MTO_RAW!D210</f>
        <v>600</v>
      </c>
      <c r="D210">
        <f t="shared" si="30"/>
        <v>0</v>
      </c>
      <c r="E210">
        <f t="shared" si="31"/>
        <v>0</v>
      </c>
      <c r="F210">
        <f t="shared" si="32"/>
        <v>0</v>
      </c>
      <c r="G210">
        <f t="shared" si="33"/>
        <v>0</v>
      </c>
      <c r="H210">
        <f t="shared" si="34"/>
        <v>0</v>
      </c>
      <c r="I210">
        <f t="shared" si="35"/>
        <v>38</v>
      </c>
      <c r="J210">
        <f t="shared" si="36"/>
        <v>0</v>
      </c>
      <c r="K210">
        <f t="shared" si="37"/>
        <v>0</v>
      </c>
      <c r="L210">
        <f t="shared" si="38"/>
        <v>0</v>
      </c>
      <c r="M210">
        <f t="shared" si="39"/>
        <v>0</v>
      </c>
    </row>
    <row r="211" spans="1:13" x14ac:dyDescent="0.25">
      <c r="A211" t="str">
        <f>MTO_RAW!A211</f>
        <v>PL20*532</v>
      </c>
      <c r="B211">
        <f>MTO_RAW!C211</f>
        <v>12</v>
      </c>
      <c r="C211">
        <f>MTO_RAW!D211</f>
        <v>900</v>
      </c>
      <c r="D211">
        <f t="shared" si="30"/>
        <v>0</v>
      </c>
      <c r="E211">
        <f t="shared" si="31"/>
        <v>0</v>
      </c>
      <c r="F211">
        <f t="shared" si="32"/>
        <v>0</v>
      </c>
      <c r="G211">
        <f t="shared" si="33"/>
        <v>0</v>
      </c>
      <c r="H211">
        <f t="shared" si="34"/>
        <v>0</v>
      </c>
      <c r="I211">
        <f t="shared" si="35"/>
        <v>32</v>
      </c>
      <c r="J211">
        <f t="shared" si="36"/>
        <v>0</v>
      </c>
      <c r="K211">
        <f t="shared" si="37"/>
        <v>0</v>
      </c>
      <c r="L211">
        <f t="shared" si="38"/>
        <v>0</v>
      </c>
      <c r="M211">
        <f t="shared" si="39"/>
        <v>0</v>
      </c>
    </row>
    <row r="212" spans="1:13" x14ac:dyDescent="0.25">
      <c r="A212" t="str">
        <f>MTO_RAW!A212</f>
        <v>PL20*645</v>
      </c>
      <c r="B212">
        <f>MTO_RAW!C212</f>
        <v>16</v>
      </c>
      <c r="C212">
        <f>MTO_RAW!D212</f>
        <v>995</v>
      </c>
      <c r="D212">
        <f t="shared" si="30"/>
        <v>0</v>
      </c>
      <c r="E212">
        <f t="shared" si="31"/>
        <v>0</v>
      </c>
      <c r="F212">
        <f t="shared" si="32"/>
        <v>0</v>
      </c>
      <c r="G212">
        <f t="shared" si="33"/>
        <v>0</v>
      </c>
      <c r="H212">
        <f t="shared" si="34"/>
        <v>0</v>
      </c>
      <c r="I212">
        <f t="shared" si="35"/>
        <v>45</v>
      </c>
      <c r="J212">
        <f t="shared" si="36"/>
        <v>0</v>
      </c>
      <c r="K212">
        <f t="shared" si="37"/>
        <v>0</v>
      </c>
      <c r="L212">
        <f t="shared" si="38"/>
        <v>0</v>
      </c>
      <c r="M212">
        <f t="shared" si="39"/>
        <v>0</v>
      </c>
    </row>
    <row r="213" spans="1:13" x14ac:dyDescent="0.25">
      <c r="A213" t="str">
        <f>MTO_RAW!A213</f>
        <v>PL20*700</v>
      </c>
      <c r="B213">
        <f>MTO_RAW!C213</f>
        <v>8</v>
      </c>
      <c r="C213">
        <f>MTO_RAW!D213</f>
        <v>1200</v>
      </c>
      <c r="D213">
        <f t="shared" si="30"/>
        <v>0</v>
      </c>
      <c r="E213">
        <f t="shared" si="31"/>
        <v>0</v>
      </c>
      <c r="F213">
        <f t="shared" si="32"/>
        <v>0</v>
      </c>
      <c r="G213">
        <f t="shared" si="33"/>
        <v>0</v>
      </c>
      <c r="H213">
        <f t="shared" si="34"/>
        <v>0</v>
      </c>
      <c r="I213">
        <f t="shared" si="35"/>
        <v>0</v>
      </c>
      <c r="J213">
        <f t="shared" si="36"/>
        <v>0</v>
      </c>
      <c r="K213">
        <f t="shared" si="37"/>
        <v>0</v>
      </c>
      <c r="L213">
        <f t="shared" si="38"/>
        <v>0</v>
      </c>
      <c r="M213">
        <f t="shared" si="39"/>
        <v>0</v>
      </c>
    </row>
    <row r="214" spans="1:13" x14ac:dyDescent="0.25">
      <c r="A214" t="str">
        <f>MTO_RAW!A214</f>
        <v>PL25*900</v>
      </c>
      <c r="B214">
        <f>MTO_RAW!C214</f>
        <v>8</v>
      </c>
      <c r="C214">
        <f>MTO_RAW!D214</f>
        <v>2210</v>
      </c>
      <c r="D214">
        <f t="shared" si="30"/>
        <v>0</v>
      </c>
      <c r="E214">
        <f t="shared" si="31"/>
        <v>0</v>
      </c>
      <c r="F214">
        <f t="shared" si="32"/>
        <v>0</v>
      </c>
      <c r="G214">
        <f t="shared" si="33"/>
        <v>0</v>
      </c>
      <c r="H214">
        <f t="shared" si="34"/>
        <v>0</v>
      </c>
      <c r="I214">
        <f t="shared" si="35"/>
        <v>0</v>
      </c>
      <c r="J214">
        <f t="shared" si="36"/>
        <v>0</v>
      </c>
      <c r="K214">
        <f t="shared" si="37"/>
        <v>0</v>
      </c>
      <c r="L214">
        <f t="shared" si="38"/>
        <v>0</v>
      </c>
      <c r="M214">
        <f t="shared" si="39"/>
        <v>0</v>
      </c>
    </row>
    <row r="215" spans="1:13" x14ac:dyDescent="0.25">
      <c r="A215" t="str">
        <f>MTO_RAW!A215</f>
        <v>PL25*1350</v>
      </c>
      <c r="B215">
        <f>MTO_RAW!C215</f>
        <v>2</v>
      </c>
      <c r="C215">
        <f>MTO_RAW!D215</f>
        <v>2700</v>
      </c>
      <c r="D215">
        <f t="shared" si="30"/>
        <v>0</v>
      </c>
      <c r="E215">
        <f t="shared" si="31"/>
        <v>0</v>
      </c>
      <c r="F215">
        <f t="shared" si="32"/>
        <v>0</v>
      </c>
      <c r="G215">
        <f t="shared" si="33"/>
        <v>0</v>
      </c>
      <c r="H215">
        <f t="shared" si="34"/>
        <v>0</v>
      </c>
      <c r="I215">
        <f t="shared" si="35"/>
        <v>50</v>
      </c>
      <c r="J215">
        <f t="shared" si="36"/>
        <v>0</v>
      </c>
      <c r="K215">
        <f t="shared" si="37"/>
        <v>0</v>
      </c>
      <c r="L215">
        <f t="shared" si="38"/>
        <v>0</v>
      </c>
      <c r="M215">
        <f t="shared" si="39"/>
        <v>0</v>
      </c>
    </row>
    <row r="216" spans="1:13" x14ac:dyDescent="0.25">
      <c r="A216" t="str">
        <f>MTO_RAW!A216</f>
        <v>PL30*334</v>
      </c>
      <c r="B216">
        <f>MTO_RAW!C216</f>
        <v>12</v>
      </c>
      <c r="C216">
        <f>MTO_RAW!D216</f>
        <v>800</v>
      </c>
      <c r="D216">
        <f t="shared" si="30"/>
        <v>0</v>
      </c>
      <c r="E216">
        <f t="shared" si="31"/>
        <v>0</v>
      </c>
      <c r="F216">
        <f t="shared" si="32"/>
        <v>0</v>
      </c>
      <c r="G216">
        <f t="shared" si="33"/>
        <v>0</v>
      </c>
      <c r="H216">
        <f t="shared" si="34"/>
        <v>0</v>
      </c>
      <c r="I216">
        <f t="shared" si="35"/>
        <v>34</v>
      </c>
      <c r="J216">
        <f t="shared" si="36"/>
        <v>0</v>
      </c>
      <c r="K216">
        <f t="shared" si="37"/>
        <v>0</v>
      </c>
      <c r="L216">
        <f t="shared" si="38"/>
        <v>0</v>
      </c>
      <c r="M216">
        <f t="shared" si="39"/>
        <v>0</v>
      </c>
    </row>
    <row r="217" spans="1:13" x14ac:dyDescent="0.25">
      <c r="A217" t="str">
        <f>MTO_RAW!A217</f>
        <v>PL36*145</v>
      </c>
      <c r="B217">
        <f>MTO_RAW!C217</f>
        <v>12</v>
      </c>
      <c r="C217">
        <f>MTO_RAW!D217</f>
        <v>145</v>
      </c>
      <c r="D217">
        <f t="shared" si="30"/>
        <v>0</v>
      </c>
      <c r="E217">
        <f t="shared" si="31"/>
        <v>0</v>
      </c>
      <c r="F217">
        <f t="shared" si="32"/>
        <v>0</v>
      </c>
      <c r="G217">
        <f t="shared" si="33"/>
        <v>0</v>
      </c>
      <c r="H217">
        <f t="shared" si="34"/>
        <v>0</v>
      </c>
      <c r="I217">
        <f t="shared" si="35"/>
        <v>45</v>
      </c>
      <c r="J217">
        <f t="shared" si="36"/>
        <v>0</v>
      </c>
      <c r="K217">
        <f t="shared" si="37"/>
        <v>0</v>
      </c>
      <c r="L217">
        <f t="shared" si="38"/>
        <v>0</v>
      </c>
      <c r="M217">
        <f t="shared" si="39"/>
        <v>0</v>
      </c>
    </row>
    <row r="218" spans="1:13" x14ac:dyDescent="0.25">
      <c r="A218" t="str">
        <f>MTO_RAW!A218</f>
        <v>PL36*284</v>
      </c>
      <c r="B218">
        <f>MTO_RAW!C218</f>
        <v>4</v>
      </c>
      <c r="C218">
        <f>MTO_RAW!D218</f>
        <v>1160</v>
      </c>
      <c r="D218">
        <f t="shared" si="30"/>
        <v>0</v>
      </c>
      <c r="E218">
        <f t="shared" si="31"/>
        <v>0</v>
      </c>
      <c r="F218">
        <f t="shared" si="32"/>
        <v>0</v>
      </c>
      <c r="G218">
        <f t="shared" si="33"/>
        <v>0</v>
      </c>
      <c r="H218">
        <f t="shared" si="34"/>
        <v>0</v>
      </c>
      <c r="I218">
        <f t="shared" si="35"/>
        <v>84</v>
      </c>
      <c r="J218">
        <f t="shared" si="36"/>
        <v>0</v>
      </c>
      <c r="K218">
        <f t="shared" si="37"/>
        <v>0</v>
      </c>
      <c r="L218">
        <f t="shared" si="38"/>
        <v>0</v>
      </c>
      <c r="M218">
        <f t="shared" si="39"/>
        <v>0</v>
      </c>
    </row>
    <row r="219" spans="1:13" x14ac:dyDescent="0.25">
      <c r="A219" t="str">
        <f>MTO_RAW!A219</f>
        <v>PL36*1160</v>
      </c>
      <c r="B219">
        <f>MTO_RAW!C219</f>
        <v>2</v>
      </c>
      <c r="C219">
        <f>MTO_RAW!D219</f>
        <v>1968</v>
      </c>
      <c r="D219">
        <f t="shared" si="30"/>
        <v>0</v>
      </c>
      <c r="E219">
        <f t="shared" si="31"/>
        <v>0</v>
      </c>
      <c r="F219">
        <f t="shared" si="32"/>
        <v>0</v>
      </c>
      <c r="G219">
        <f t="shared" si="33"/>
        <v>0</v>
      </c>
      <c r="H219">
        <f t="shared" si="34"/>
        <v>0</v>
      </c>
      <c r="I219">
        <f t="shared" si="35"/>
        <v>60</v>
      </c>
      <c r="J219">
        <f t="shared" si="36"/>
        <v>0</v>
      </c>
      <c r="K219">
        <f t="shared" si="37"/>
        <v>0</v>
      </c>
      <c r="L219">
        <f t="shared" si="38"/>
        <v>0</v>
      </c>
      <c r="M219">
        <f t="shared" si="39"/>
        <v>0</v>
      </c>
    </row>
    <row r="220" spans="1:13" x14ac:dyDescent="0.25">
      <c r="A220" t="str">
        <f>MTO_RAW!A220</f>
        <v>PL40*655</v>
      </c>
      <c r="B220">
        <f>MTO_RAW!C220</f>
        <v>12</v>
      </c>
      <c r="C220">
        <f>MTO_RAW!D220</f>
        <v>800</v>
      </c>
      <c r="D220">
        <f t="shared" si="30"/>
        <v>0</v>
      </c>
      <c r="E220">
        <f t="shared" si="31"/>
        <v>0</v>
      </c>
      <c r="F220">
        <f t="shared" si="32"/>
        <v>0</v>
      </c>
      <c r="G220">
        <f t="shared" si="33"/>
        <v>0</v>
      </c>
      <c r="H220">
        <f t="shared" si="34"/>
        <v>0</v>
      </c>
      <c r="I220">
        <f t="shared" si="35"/>
        <v>55</v>
      </c>
      <c r="J220">
        <f t="shared" si="36"/>
        <v>0</v>
      </c>
      <c r="K220">
        <f t="shared" si="37"/>
        <v>0</v>
      </c>
      <c r="L220">
        <f t="shared" si="38"/>
        <v>0</v>
      </c>
      <c r="M220">
        <f t="shared" si="39"/>
        <v>0</v>
      </c>
    </row>
    <row r="221" spans="1:13" x14ac:dyDescent="0.25">
      <c r="A221" t="str">
        <f>MTO_RAW!A221</f>
        <v>PL40*800</v>
      </c>
      <c r="B221">
        <f>MTO_RAW!C221</f>
        <v>2</v>
      </c>
      <c r="C221">
        <f>MTO_RAW!D221</f>
        <v>1968</v>
      </c>
      <c r="D221">
        <f t="shared" si="30"/>
        <v>0</v>
      </c>
      <c r="E221">
        <f t="shared" si="31"/>
        <v>0</v>
      </c>
      <c r="F221">
        <f t="shared" si="32"/>
        <v>0</v>
      </c>
      <c r="G221">
        <f t="shared" si="33"/>
        <v>0</v>
      </c>
      <c r="H221">
        <f t="shared" si="34"/>
        <v>0</v>
      </c>
      <c r="I221">
        <f t="shared" si="35"/>
        <v>0</v>
      </c>
      <c r="J221">
        <f t="shared" si="36"/>
        <v>0</v>
      </c>
      <c r="K221">
        <f t="shared" si="37"/>
        <v>0</v>
      </c>
      <c r="L221">
        <f t="shared" si="38"/>
        <v>0</v>
      </c>
      <c r="M221">
        <f t="shared" si="39"/>
        <v>0</v>
      </c>
    </row>
    <row r="222" spans="1:13" x14ac:dyDescent="0.25">
      <c r="A222" t="str">
        <f>MTO_RAW!A222</f>
        <v>PL45*140</v>
      </c>
      <c r="B222">
        <f>MTO_RAW!C222</f>
        <v>12</v>
      </c>
      <c r="C222">
        <f>MTO_RAW!D222</f>
        <v>140</v>
      </c>
      <c r="D222">
        <f t="shared" si="30"/>
        <v>0</v>
      </c>
      <c r="E222">
        <f t="shared" si="31"/>
        <v>0</v>
      </c>
      <c r="F222">
        <f t="shared" si="32"/>
        <v>0</v>
      </c>
      <c r="G222">
        <f t="shared" si="33"/>
        <v>0</v>
      </c>
      <c r="H222">
        <f t="shared" si="34"/>
        <v>0</v>
      </c>
      <c r="I222">
        <f t="shared" si="35"/>
        <v>40</v>
      </c>
      <c r="J222">
        <f t="shared" si="36"/>
        <v>0</v>
      </c>
      <c r="K222">
        <f t="shared" si="37"/>
        <v>0</v>
      </c>
      <c r="L222">
        <f t="shared" si="38"/>
        <v>0</v>
      </c>
      <c r="M222">
        <f t="shared" si="39"/>
        <v>0</v>
      </c>
    </row>
    <row r="223" spans="1:13" x14ac:dyDescent="0.25">
      <c r="A223" t="str">
        <f>MTO_RAW!A223</f>
        <v>PL45*225</v>
      </c>
      <c r="B223">
        <f>MTO_RAW!C223</f>
        <v>12</v>
      </c>
      <c r="C223">
        <f>MTO_RAW!D223</f>
        <v>225</v>
      </c>
      <c r="D223">
        <f t="shared" si="30"/>
        <v>0</v>
      </c>
      <c r="E223">
        <f t="shared" si="31"/>
        <v>0</v>
      </c>
      <c r="F223">
        <f t="shared" si="32"/>
        <v>0</v>
      </c>
      <c r="G223">
        <f t="shared" si="33"/>
        <v>0</v>
      </c>
      <c r="H223">
        <f t="shared" si="34"/>
        <v>0</v>
      </c>
      <c r="I223">
        <f t="shared" si="35"/>
        <v>25</v>
      </c>
      <c r="J223">
        <f t="shared" si="36"/>
        <v>0</v>
      </c>
      <c r="K223">
        <f t="shared" si="37"/>
        <v>0</v>
      </c>
      <c r="L223">
        <f t="shared" si="38"/>
        <v>0</v>
      </c>
      <c r="M223">
        <f t="shared" si="39"/>
        <v>0</v>
      </c>
    </row>
    <row r="224" spans="1:13" x14ac:dyDescent="0.25">
      <c r="A224" t="str">
        <f>MTO_RAW!A224</f>
        <v>PL45*900</v>
      </c>
      <c r="B224">
        <f>MTO_RAW!C224</f>
        <v>2</v>
      </c>
      <c r="C224">
        <f>MTO_RAW!D224</f>
        <v>1200</v>
      </c>
      <c r="D224">
        <f t="shared" si="30"/>
        <v>0</v>
      </c>
      <c r="E224">
        <f t="shared" si="31"/>
        <v>0</v>
      </c>
      <c r="F224">
        <f t="shared" si="32"/>
        <v>0</v>
      </c>
      <c r="G224">
        <f t="shared" si="33"/>
        <v>0</v>
      </c>
      <c r="H224">
        <f t="shared" si="34"/>
        <v>0</v>
      </c>
      <c r="I224">
        <f t="shared" si="35"/>
        <v>0</v>
      </c>
      <c r="J224">
        <f t="shared" si="36"/>
        <v>0</v>
      </c>
      <c r="K224">
        <f t="shared" si="37"/>
        <v>0</v>
      </c>
      <c r="L224">
        <f t="shared" si="38"/>
        <v>0</v>
      </c>
      <c r="M224">
        <f t="shared" si="39"/>
        <v>0</v>
      </c>
    </row>
    <row r="225" spans="1:13" x14ac:dyDescent="0.25">
      <c r="A225" t="str">
        <f>MTO_RAW!A225</f>
        <v>PL45*1200</v>
      </c>
      <c r="B225">
        <f>MTO_RAW!C225</f>
        <v>4</v>
      </c>
      <c r="C225">
        <f>MTO_RAW!D225</f>
        <v>1600</v>
      </c>
      <c r="D225">
        <f t="shared" si="30"/>
        <v>0</v>
      </c>
      <c r="E225">
        <f t="shared" si="31"/>
        <v>0</v>
      </c>
      <c r="F225">
        <f t="shared" si="32"/>
        <v>0</v>
      </c>
      <c r="G225">
        <f t="shared" si="33"/>
        <v>0</v>
      </c>
      <c r="H225">
        <f t="shared" si="34"/>
        <v>0</v>
      </c>
      <c r="I225">
        <f t="shared" si="35"/>
        <v>0</v>
      </c>
      <c r="J225">
        <f t="shared" si="36"/>
        <v>0</v>
      </c>
      <c r="K225">
        <f t="shared" si="37"/>
        <v>0</v>
      </c>
      <c r="L225">
        <f t="shared" si="38"/>
        <v>0</v>
      </c>
      <c r="M225">
        <f t="shared" si="39"/>
        <v>0</v>
      </c>
    </row>
    <row r="226" spans="1:13" x14ac:dyDescent="0.25">
      <c r="A226" t="str">
        <f>MTO_RAW!A226</f>
        <v>PL56*900</v>
      </c>
      <c r="B226">
        <f>MTO_RAW!C226</f>
        <v>2</v>
      </c>
      <c r="C226">
        <f>MTO_RAW!D226</f>
        <v>1600</v>
      </c>
      <c r="D226">
        <f t="shared" si="30"/>
        <v>0</v>
      </c>
      <c r="E226">
        <f t="shared" si="31"/>
        <v>0</v>
      </c>
      <c r="F226">
        <f t="shared" si="32"/>
        <v>0</v>
      </c>
      <c r="G226">
        <f t="shared" si="33"/>
        <v>0</v>
      </c>
      <c r="H226">
        <f t="shared" si="34"/>
        <v>0</v>
      </c>
      <c r="I226">
        <f t="shared" si="35"/>
        <v>0</v>
      </c>
      <c r="J226">
        <f t="shared" si="36"/>
        <v>0</v>
      </c>
      <c r="K226">
        <f t="shared" si="37"/>
        <v>0</v>
      </c>
      <c r="L226">
        <f t="shared" si="38"/>
        <v>0</v>
      </c>
      <c r="M226">
        <f t="shared" si="39"/>
        <v>0</v>
      </c>
    </row>
    <row r="227" spans="1:13" x14ac:dyDescent="0.25">
      <c r="A227" t="str">
        <f>MTO_RAW!A227</f>
        <v>PL63*1100</v>
      </c>
      <c r="B227">
        <f>MTO_RAW!C227</f>
        <v>2</v>
      </c>
      <c r="C227">
        <f>MTO_RAW!D227</f>
        <v>1800</v>
      </c>
      <c r="D227">
        <f t="shared" si="30"/>
        <v>0</v>
      </c>
      <c r="E227">
        <f t="shared" si="31"/>
        <v>0</v>
      </c>
      <c r="F227">
        <f t="shared" si="32"/>
        <v>0</v>
      </c>
      <c r="G227">
        <f t="shared" si="33"/>
        <v>0</v>
      </c>
      <c r="H227">
        <f t="shared" si="34"/>
        <v>0</v>
      </c>
      <c r="I227">
        <f t="shared" si="35"/>
        <v>0</v>
      </c>
      <c r="J227">
        <f t="shared" si="36"/>
        <v>0</v>
      </c>
      <c r="K227">
        <f t="shared" si="37"/>
        <v>0</v>
      </c>
      <c r="L227">
        <f t="shared" si="38"/>
        <v>0</v>
      </c>
      <c r="M227">
        <f t="shared" si="39"/>
        <v>0</v>
      </c>
    </row>
    <row r="228" spans="1:13" x14ac:dyDescent="0.25">
      <c r="A228" t="str">
        <f>MTO_RAW!A228</f>
        <v>PLT5*150</v>
      </c>
      <c r="B228">
        <f>MTO_RAW!C228</f>
        <v>2</v>
      </c>
      <c r="C228">
        <f>MTO_RAW!D228</f>
        <v>2655</v>
      </c>
      <c r="D228">
        <f t="shared" si="30"/>
        <v>0</v>
      </c>
      <c r="E228">
        <f t="shared" si="31"/>
        <v>0</v>
      </c>
      <c r="F228">
        <f t="shared" si="32"/>
        <v>0</v>
      </c>
      <c r="G228">
        <f t="shared" si="33"/>
        <v>0</v>
      </c>
      <c r="H228">
        <f t="shared" si="34"/>
        <v>0</v>
      </c>
      <c r="I228">
        <f t="shared" si="35"/>
        <v>50</v>
      </c>
      <c r="J228">
        <f t="shared" si="36"/>
        <v>0</v>
      </c>
      <c r="K228">
        <f t="shared" si="37"/>
        <v>0</v>
      </c>
      <c r="L228">
        <f t="shared" si="38"/>
        <v>0</v>
      </c>
      <c r="M228">
        <f t="shared" si="39"/>
        <v>0</v>
      </c>
    </row>
    <row r="229" spans="1:13" x14ac:dyDescent="0.25">
      <c r="A229" t="str">
        <f>MTO_RAW!A229</f>
        <v>PLT5*150</v>
      </c>
      <c r="B229">
        <f>MTO_RAW!C229</f>
        <v>2</v>
      </c>
      <c r="C229">
        <f>MTO_RAW!D229</f>
        <v>2760</v>
      </c>
      <c r="D229">
        <f t="shared" si="30"/>
        <v>0</v>
      </c>
      <c r="E229">
        <f t="shared" si="31"/>
        <v>0</v>
      </c>
      <c r="F229">
        <f t="shared" si="32"/>
        <v>0</v>
      </c>
      <c r="G229">
        <f t="shared" si="33"/>
        <v>0</v>
      </c>
      <c r="H229">
        <f t="shared" si="34"/>
        <v>0</v>
      </c>
      <c r="I229">
        <f t="shared" si="35"/>
        <v>50</v>
      </c>
      <c r="J229">
        <f t="shared" si="36"/>
        <v>0</v>
      </c>
      <c r="K229">
        <f t="shared" si="37"/>
        <v>0</v>
      </c>
      <c r="L229">
        <f t="shared" si="38"/>
        <v>0</v>
      </c>
      <c r="M229">
        <f t="shared" si="39"/>
        <v>0</v>
      </c>
    </row>
    <row r="230" spans="1:13" x14ac:dyDescent="0.25">
      <c r="A230" t="str">
        <f>MTO_RAW!A230</f>
        <v>PLT5*150</v>
      </c>
      <c r="B230">
        <f>MTO_RAW!C230</f>
        <v>4</v>
      </c>
      <c r="C230">
        <f>MTO_RAW!D230</f>
        <v>3811</v>
      </c>
      <c r="D230">
        <f t="shared" si="30"/>
        <v>0</v>
      </c>
      <c r="E230">
        <f t="shared" si="31"/>
        <v>0</v>
      </c>
      <c r="F230">
        <f t="shared" si="32"/>
        <v>0</v>
      </c>
      <c r="G230">
        <f t="shared" si="33"/>
        <v>0</v>
      </c>
      <c r="H230">
        <f t="shared" si="34"/>
        <v>0</v>
      </c>
      <c r="I230">
        <f t="shared" si="35"/>
        <v>50</v>
      </c>
      <c r="J230">
        <f t="shared" si="36"/>
        <v>0</v>
      </c>
      <c r="K230">
        <f t="shared" si="37"/>
        <v>0</v>
      </c>
      <c r="L230">
        <f t="shared" si="38"/>
        <v>0</v>
      </c>
      <c r="M230">
        <f t="shared" si="39"/>
        <v>0</v>
      </c>
    </row>
    <row r="231" spans="1:13" x14ac:dyDescent="0.25">
      <c r="A231" t="str">
        <f>MTO_RAW!A231</f>
        <v>PLT5*150</v>
      </c>
      <c r="B231">
        <f>MTO_RAW!C231</f>
        <v>4</v>
      </c>
      <c r="C231">
        <f>MTO_RAW!D231</f>
        <v>3900</v>
      </c>
      <c r="D231">
        <f t="shared" si="30"/>
        <v>0</v>
      </c>
      <c r="E231">
        <f t="shared" si="31"/>
        <v>0</v>
      </c>
      <c r="F231">
        <f t="shared" si="32"/>
        <v>0</v>
      </c>
      <c r="G231">
        <f t="shared" si="33"/>
        <v>0</v>
      </c>
      <c r="H231">
        <f t="shared" si="34"/>
        <v>0</v>
      </c>
      <c r="I231">
        <f t="shared" si="35"/>
        <v>50</v>
      </c>
      <c r="J231">
        <f t="shared" si="36"/>
        <v>0</v>
      </c>
      <c r="K231">
        <f t="shared" si="37"/>
        <v>0</v>
      </c>
      <c r="L231">
        <f t="shared" si="38"/>
        <v>0</v>
      </c>
      <c r="M231">
        <f t="shared" si="39"/>
        <v>0</v>
      </c>
    </row>
    <row r="232" spans="1:13" x14ac:dyDescent="0.25">
      <c r="A232" t="str">
        <f>MTO_RAW!A232</f>
        <v>PLT10*70</v>
      </c>
      <c r="B232">
        <f>MTO_RAW!C232</f>
        <v>42</v>
      </c>
      <c r="C232">
        <f>MTO_RAW!D232</f>
        <v>140</v>
      </c>
      <c r="D232">
        <f t="shared" si="30"/>
        <v>0</v>
      </c>
      <c r="E232">
        <f t="shared" si="31"/>
        <v>0</v>
      </c>
      <c r="F232">
        <f t="shared" si="32"/>
        <v>0</v>
      </c>
      <c r="G232">
        <f t="shared" si="33"/>
        <v>0</v>
      </c>
      <c r="H232">
        <f t="shared" si="34"/>
        <v>0</v>
      </c>
      <c r="I232">
        <f t="shared" si="35"/>
        <v>70</v>
      </c>
      <c r="J232">
        <f t="shared" si="36"/>
        <v>0</v>
      </c>
      <c r="K232">
        <f t="shared" si="37"/>
        <v>0</v>
      </c>
      <c r="L232">
        <f t="shared" si="38"/>
        <v>0</v>
      </c>
      <c r="M232">
        <f t="shared" si="39"/>
        <v>0</v>
      </c>
    </row>
    <row r="233" spans="1:13" x14ac:dyDescent="0.25">
      <c r="A233" t="str">
        <f>MTO_RAW!A233</f>
        <v>PLT10*250</v>
      </c>
      <c r="B233">
        <f>MTO_RAW!C233</f>
        <v>8</v>
      </c>
      <c r="C233">
        <f>MTO_RAW!D233</f>
        <v>198</v>
      </c>
      <c r="D233">
        <f t="shared" si="30"/>
        <v>0</v>
      </c>
      <c r="E233">
        <f t="shared" si="31"/>
        <v>0</v>
      </c>
      <c r="F233">
        <f t="shared" si="32"/>
        <v>0</v>
      </c>
      <c r="G233">
        <f t="shared" si="33"/>
        <v>0</v>
      </c>
      <c r="H233">
        <f t="shared" si="34"/>
        <v>0</v>
      </c>
      <c r="I233">
        <f t="shared" si="35"/>
        <v>50</v>
      </c>
      <c r="J233">
        <f t="shared" si="36"/>
        <v>0</v>
      </c>
      <c r="K233">
        <f t="shared" si="37"/>
        <v>0</v>
      </c>
      <c r="L233">
        <f t="shared" si="38"/>
        <v>0</v>
      </c>
      <c r="M233">
        <f t="shared" si="39"/>
        <v>0</v>
      </c>
    </row>
    <row r="234" spans="1:13" x14ac:dyDescent="0.25">
      <c r="A234" t="str">
        <f>MTO_RAW!A234</f>
        <v>PLT10*250</v>
      </c>
      <c r="B234">
        <f>MTO_RAW!C234</f>
        <v>40</v>
      </c>
      <c r="C234">
        <f>MTO_RAW!D234</f>
        <v>250</v>
      </c>
      <c r="D234">
        <f t="shared" si="30"/>
        <v>0</v>
      </c>
      <c r="E234">
        <f t="shared" si="31"/>
        <v>0</v>
      </c>
      <c r="F234">
        <f t="shared" si="32"/>
        <v>0</v>
      </c>
      <c r="G234">
        <f t="shared" si="33"/>
        <v>0</v>
      </c>
      <c r="H234">
        <f t="shared" si="34"/>
        <v>0</v>
      </c>
      <c r="I234">
        <f t="shared" si="35"/>
        <v>50</v>
      </c>
      <c r="J234">
        <f t="shared" si="36"/>
        <v>0</v>
      </c>
      <c r="K234">
        <f t="shared" si="37"/>
        <v>0</v>
      </c>
      <c r="L234">
        <f t="shared" si="38"/>
        <v>0</v>
      </c>
      <c r="M234">
        <f t="shared" si="39"/>
        <v>0</v>
      </c>
    </row>
    <row r="235" spans="1:13" x14ac:dyDescent="0.25">
      <c r="A235" t="str">
        <f>MTO_RAW!A235</f>
        <v>PLT10*275</v>
      </c>
      <c r="B235">
        <f>MTO_RAW!C235</f>
        <v>58</v>
      </c>
      <c r="C235">
        <f>MTO_RAW!D235</f>
        <v>85</v>
      </c>
      <c r="D235">
        <f t="shared" si="30"/>
        <v>0</v>
      </c>
      <c r="E235">
        <f t="shared" si="31"/>
        <v>0</v>
      </c>
      <c r="F235">
        <f t="shared" si="32"/>
        <v>0</v>
      </c>
      <c r="G235">
        <f t="shared" si="33"/>
        <v>0</v>
      </c>
      <c r="H235">
        <f t="shared" si="34"/>
        <v>0</v>
      </c>
      <c r="I235">
        <f t="shared" si="35"/>
        <v>75</v>
      </c>
      <c r="J235">
        <f t="shared" si="36"/>
        <v>0</v>
      </c>
      <c r="K235">
        <f t="shared" si="37"/>
        <v>0</v>
      </c>
      <c r="L235">
        <f t="shared" si="38"/>
        <v>0</v>
      </c>
      <c r="M235">
        <f t="shared" si="39"/>
        <v>0</v>
      </c>
    </row>
    <row r="236" spans="1:13" x14ac:dyDescent="0.25">
      <c r="A236" t="str">
        <f>MTO_RAW!A236</f>
        <v>PLT12*400</v>
      </c>
      <c r="B236">
        <f>MTO_RAW!C236</f>
        <v>2</v>
      </c>
      <c r="C236">
        <f>MTO_RAW!D236</f>
        <v>95</v>
      </c>
      <c r="D236">
        <f t="shared" si="30"/>
        <v>0</v>
      </c>
      <c r="E236">
        <f t="shared" si="31"/>
        <v>0</v>
      </c>
      <c r="F236">
        <f t="shared" si="32"/>
        <v>0</v>
      </c>
      <c r="G236">
        <f t="shared" si="33"/>
        <v>0</v>
      </c>
      <c r="H236">
        <f t="shared" si="34"/>
        <v>0</v>
      </c>
      <c r="I236">
        <f t="shared" si="35"/>
        <v>0</v>
      </c>
      <c r="J236">
        <f t="shared" si="36"/>
        <v>0</v>
      </c>
      <c r="K236">
        <f t="shared" si="37"/>
        <v>0</v>
      </c>
      <c r="L236">
        <f t="shared" si="38"/>
        <v>0</v>
      </c>
      <c r="M236">
        <f t="shared" si="39"/>
        <v>0</v>
      </c>
    </row>
    <row r="237" spans="1:13" x14ac:dyDescent="0.25">
      <c r="A237" t="str">
        <f>MTO_RAW!A237</f>
        <v>PLT20*65</v>
      </c>
      <c r="B237">
        <f>MTO_RAW!C237</f>
        <v>16</v>
      </c>
      <c r="C237">
        <f>MTO_RAW!D237</f>
        <v>190</v>
      </c>
      <c r="D237">
        <f t="shared" si="30"/>
        <v>0</v>
      </c>
      <c r="E237">
        <f t="shared" si="31"/>
        <v>0</v>
      </c>
      <c r="F237">
        <f t="shared" si="32"/>
        <v>0</v>
      </c>
      <c r="G237">
        <f t="shared" si="33"/>
        <v>0</v>
      </c>
      <c r="H237">
        <f t="shared" si="34"/>
        <v>0</v>
      </c>
      <c r="I237">
        <f t="shared" si="35"/>
        <v>65</v>
      </c>
      <c r="J237">
        <f t="shared" si="36"/>
        <v>0</v>
      </c>
      <c r="K237">
        <f t="shared" si="37"/>
        <v>0</v>
      </c>
      <c r="L237">
        <f t="shared" si="38"/>
        <v>0</v>
      </c>
      <c r="M237">
        <f t="shared" si="39"/>
        <v>0</v>
      </c>
    </row>
    <row r="238" spans="1:13" x14ac:dyDescent="0.25">
      <c r="A238" t="str">
        <f>MTO_RAW!A238</f>
        <v>PLT20*80</v>
      </c>
      <c r="B238">
        <f>MTO_RAW!C238</f>
        <v>14</v>
      </c>
      <c r="C238">
        <f>MTO_RAW!D238</f>
        <v>190</v>
      </c>
      <c r="D238">
        <f t="shared" si="30"/>
        <v>0</v>
      </c>
      <c r="E238">
        <f t="shared" si="31"/>
        <v>0</v>
      </c>
      <c r="F238">
        <f t="shared" si="32"/>
        <v>0</v>
      </c>
      <c r="G238">
        <f t="shared" si="33"/>
        <v>0</v>
      </c>
      <c r="H238">
        <f t="shared" si="34"/>
        <v>0</v>
      </c>
      <c r="I238">
        <f t="shared" si="35"/>
        <v>80</v>
      </c>
      <c r="J238">
        <f t="shared" si="36"/>
        <v>0</v>
      </c>
      <c r="K238">
        <f t="shared" si="37"/>
        <v>0</v>
      </c>
      <c r="L238">
        <f t="shared" si="38"/>
        <v>0</v>
      </c>
      <c r="M238">
        <f t="shared" si="39"/>
        <v>0</v>
      </c>
    </row>
    <row r="239" spans="1:13" x14ac:dyDescent="0.25">
      <c r="A239" t="str">
        <f>MTO_RAW!A239</f>
        <v>PLT25*250</v>
      </c>
      <c r="B239">
        <f>MTO_RAW!C239</f>
        <v>32</v>
      </c>
      <c r="C239">
        <f>MTO_RAW!D239</f>
        <v>700</v>
      </c>
      <c r="D239">
        <f t="shared" si="30"/>
        <v>0</v>
      </c>
      <c r="E239">
        <f t="shared" si="31"/>
        <v>0</v>
      </c>
      <c r="F239">
        <f t="shared" si="32"/>
        <v>0</v>
      </c>
      <c r="G239">
        <f t="shared" si="33"/>
        <v>0</v>
      </c>
      <c r="H239">
        <f t="shared" si="34"/>
        <v>0</v>
      </c>
      <c r="I239">
        <f t="shared" si="35"/>
        <v>50</v>
      </c>
      <c r="J239">
        <f t="shared" si="36"/>
        <v>0</v>
      </c>
      <c r="K239">
        <f t="shared" si="37"/>
        <v>0</v>
      </c>
      <c r="L239">
        <f t="shared" si="38"/>
        <v>0</v>
      </c>
      <c r="M239">
        <f t="shared" si="39"/>
        <v>0</v>
      </c>
    </row>
    <row r="240" spans="1:13" x14ac:dyDescent="0.25">
      <c r="A240" t="str">
        <f>MTO_RAW!A240</f>
        <v>PLT25*600</v>
      </c>
      <c r="B240">
        <f>MTO_RAW!C240</f>
        <v>16</v>
      </c>
      <c r="C240">
        <f>MTO_RAW!D240</f>
        <v>700</v>
      </c>
      <c r="D240">
        <f t="shared" si="30"/>
        <v>0</v>
      </c>
      <c r="E240">
        <f t="shared" si="31"/>
        <v>0</v>
      </c>
      <c r="F240">
        <f t="shared" si="32"/>
        <v>0</v>
      </c>
      <c r="G240">
        <f t="shared" si="33"/>
        <v>0</v>
      </c>
      <c r="H240">
        <f t="shared" si="34"/>
        <v>0</v>
      </c>
      <c r="I240">
        <f t="shared" si="35"/>
        <v>0</v>
      </c>
      <c r="J240">
        <f t="shared" si="36"/>
        <v>0</v>
      </c>
      <c r="K240">
        <f t="shared" si="37"/>
        <v>0</v>
      </c>
      <c r="L240">
        <f t="shared" si="38"/>
        <v>0</v>
      </c>
      <c r="M240">
        <f t="shared" si="39"/>
        <v>0</v>
      </c>
    </row>
    <row r="241" spans="1:13" x14ac:dyDescent="0.25">
      <c r="A241" t="str">
        <f>MTO_RAW!A241</f>
        <v>PLT45*425</v>
      </c>
      <c r="B241">
        <f>MTO_RAW!C241</f>
        <v>8</v>
      </c>
      <c r="C241">
        <f>MTO_RAW!D241</f>
        <v>1200</v>
      </c>
      <c r="D241">
        <f t="shared" si="30"/>
        <v>0</v>
      </c>
      <c r="E241">
        <f t="shared" si="31"/>
        <v>0</v>
      </c>
      <c r="F241">
        <f t="shared" si="32"/>
        <v>0</v>
      </c>
      <c r="G241">
        <f t="shared" si="33"/>
        <v>0</v>
      </c>
      <c r="H241">
        <f t="shared" si="34"/>
        <v>0</v>
      </c>
      <c r="I241">
        <f t="shared" si="35"/>
        <v>25</v>
      </c>
      <c r="J241">
        <f t="shared" si="36"/>
        <v>0</v>
      </c>
      <c r="K241">
        <f t="shared" si="37"/>
        <v>0</v>
      </c>
      <c r="L241">
        <f t="shared" si="38"/>
        <v>0</v>
      </c>
      <c r="M241">
        <f t="shared" si="39"/>
        <v>0</v>
      </c>
    </row>
    <row r="242" spans="1:13" x14ac:dyDescent="0.25">
      <c r="A242" t="str">
        <f>MTO_RAW!A242</f>
        <v>TS32NB3.2</v>
      </c>
      <c r="B242">
        <f>MTO_RAW!C242</f>
        <v>24</v>
      </c>
      <c r="C242">
        <f>MTO_RAW!D242</f>
        <v>278</v>
      </c>
      <c r="D242">
        <f t="shared" si="30"/>
        <v>0</v>
      </c>
      <c r="E242">
        <f t="shared" si="31"/>
        <v>0</v>
      </c>
      <c r="F242">
        <f t="shared" si="32"/>
        <v>0</v>
      </c>
      <c r="G242">
        <f t="shared" si="33"/>
        <v>0</v>
      </c>
      <c r="H242">
        <f t="shared" si="34"/>
        <v>0</v>
      </c>
      <c r="I242">
        <f t="shared" si="35"/>
        <v>0.2</v>
      </c>
      <c r="J242">
        <f t="shared" si="36"/>
        <v>0</v>
      </c>
      <c r="K242">
        <f t="shared" si="37"/>
        <v>0</v>
      </c>
      <c r="L242">
        <f t="shared" si="38"/>
        <v>0</v>
      </c>
      <c r="M242">
        <f t="shared" si="39"/>
        <v>0</v>
      </c>
    </row>
    <row r="243" spans="1:13" x14ac:dyDescent="0.25">
      <c r="A243" t="str">
        <f>MTO_RAW!A243</f>
        <v>TS32NB3.2</v>
      </c>
      <c r="B243">
        <f>MTO_RAW!C243</f>
        <v>8</v>
      </c>
      <c r="C243">
        <f>MTO_RAW!D243</f>
        <v>1005</v>
      </c>
      <c r="D243">
        <f t="shared" si="30"/>
        <v>0</v>
      </c>
      <c r="E243">
        <f t="shared" si="31"/>
        <v>0</v>
      </c>
      <c r="F243">
        <f t="shared" si="32"/>
        <v>0</v>
      </c>
      <c r="G243">
        <f t="shared" si="33"/>
        <v>0</v>
      </c>
      <c r="H243">
        <f t="shared" si="34"/>
        <v>0</v>
      </c>
      <c r="I243">
        <f t="shared" si="35"/>
        <v>0.2</v>
      </c>
      <c r="J243">
        <f t="shared" si="36"/>
        <v>0</v>
      </c>
      <c r="K243">
        <f t="shared" si="37"/>
        <v>0</v>
      </c>
      <c r="L243">
        <f t="shared" si="38"/>
        <v>0</v>
      </c>
      <c r="M243">
        <f t="shared" si="39"/>
        <v>0</v>
      </c>
    </row>
    <row r="244" spans="1:13" x14ac:dyDescent="0.25">
      <c r="A244" t="str">
        <f>MTO_RAW!A244</f>
        <v>TS32NB3.2</v>
      </c>
      <c r="B244">
        <f>MTO_RAW!C244</f>
        <v>24</v>
      </c>
      <c r="C244">
        <f>MTO_RAW!D244</f>
        <v>1048</v>
      </c>
      <c r="D244">
        <f t="shared" si="30"/>
        <v>0</v>
      </c>
      <c r="E244">
        <f t="shared" si="31"/>
        <v>0</v>
      </c>
      <c r="F244">
        <f t="shared" si="32"/>
        <v>0</v>
      </c>
      <c r="G244">
        <f t="shared" si="33"/>
        <v>0</v>
      </c>
      <c r="H244">
        <f t="shared" si="34"/>
        <v>0</v>
      </c>
      <c r="I244">
        <f t="shared" si="35"/>
        <v>0.2</v>
      </c>
      <c r="J244">
        <f t="shared" si="36"/>
        <v>0</v>
      </c>
      <c r="K244">
        <f t="shared" si="37"/>
        <v>0</v>
      </c>
      <c r="L244">
        <f t="shared" si="38"/>
        <v>0</v>
      </c>
      <c r="M244">
        <f t="shared" si="39"/>
        <v>0</v>
      </c>
    </row>
    <row r="245" spans="1:13" x14ac:dyDescent="0.25">
      <c r="A245" t="str">
        <f>MTO_RAW!A245</f>
        <v>TS32NB3.2</v>
      </c>
      <c r="B245">
        <f>MTO_RAW!C245</f>
        <v>8</v>
      </c>
      <c r="C245">
        <f>MTO_RAW!D245</f>
        <v>1058</v>
      </c>
      <c r="D245">
        <f t="shared" si="30"/>
        <v>0</v>
      </c>
      <c r="E245">
        <f t="shared" si="31"/>
        <v>0</v>
      </c>
      <c r="F245">
        <f t="shared" si="32"/>
        <v>0</v>
      </c>
      <c r="G245">
        <f t="shared" si="33"/>
        <v>0</v>
      </c>
      <c r="H245">
        <f t="shared" si="34"/>
        <v>0</v>
      </c>
      <c r="I245">
        <f t="shared" si="35"/>
        <v>0.2</v>
      </c>
      <c r="J245">
        <f t="shared" si="36"/>
        <v>0</v>
      </c>
      <c r="K245">
        <f t="shared" si="37"/>
        <v>0</v>
      </c>
      <c r="L245">
        <f t="shared" si="38"/>
        <v>0</v>
      </c>
      <c r="M245">
        <f t="shared" si="39"/>
        <v>0</v>
      </c>
    </row>
    <row r="246" spans="1:13" x14ac:dyDescent="0.25">
      <c r="A246" t="str">
        <f>MTO_RAW!A246</f>
        <v>TS32NB3.2</v>
      </c>
      <c r="B246">
        <f>MTO_RAW!C246</f>
        <v>24</v>
      </c>
      <c r="C246">
        <f>MTO_RAW!D246</f>
        <v>1078</v>
      </c>
      <c r="D246">
        <f t="shared" si="30"/>
        <v>0</v>
      </c>
      <c r="E246">
        <f t="shared" si="31"/>
        <v>0</v>
      </c>
      <c r="F246">
        <f t="shared" si="32"/>
        <v>0</v>
      </c>
      <c r="G246">
        <f t="shared" si="33"/>
        <v>0</v>
      </c>
      <c r="H246">
        <f t="shared" si="34"/>
        <v>0</v>
      </c>
      <c r="I246">
        <f t="shared" si="35"/>
        <v>0.2</v>
      </c>
      <c r="J246">
        <f t="shared" si="36"/>
        <v>0</v>
      </c>
      <c r="K246">
        <f t="shared" si="37"/>
        <v>0</v>
      </c>
      <c r="L246">
        <f t="shared" si="38"/>
        <v>0</v>
      </c>
      <c r="M246">
        <f t="shared" si="39"/>
        <v>0</v>
      </c>
    </row>
    <row r="247" spans="1:13" x14ac:dyDescent="0.25">
      <c r="A247" t="str">
        <f>MTO_RAW!A247</f>
        <v>TS40NB3.2</v>
      </c>
      <c r="B247">
        <f>MTO_RAW!C247</f>
        <v>24</v>
      </c>
      <c r="C247">
        <f>MTO_RAW!D247</f>
        <v>324</v>
      </c>
      <c r="D247">
        <f t="shared" si="30"/>
        <v>0</v>
      </c>
      <c r="E247">
        <f t="shared" si="31"/>
        <v>0</v>
      </c>
      <c r="F247">
        <f t="shared" si="32"/>
        <v>0</v>
      </c>
      <c r="G247">
        <f t="shared" si="33"/>
        <v>0</v>
      </c>
      <c r="H247">
        <f t="shared" si="34"/>
        <v>0</v>
      </c>
      <c r="I247">
        <f t="shared" si="35"/>
        <v>0.2</v>
      </c>
      <c r="J247">
        <f t="shared" si="36"/>
        <v>0</v>
      </c>
      <c r="K247">
        <f t="shared" si="37"/>
        <v>0</v>
      </c>
      <c r="L247">
        <f t="shared" si="38"/>
        <v>0</v>
      </c>
      <c r="M247">
        <f t="shared" si="39"/>
        <v>0</v>
      </c>
    </row>
    <row r="248" spans="1:13" x14ac:dyDescent="0.25">
      <c r="A248" t="str">
        <f>MTO_RAW!A248</f>
        <v>TS40NB3.2</v>
      </c>
      <c r="B248">
        <f>MTO_RAW!C248</f>
        <v>24</v>
      </c>
      <c r="C248">
        <f>MTO_RAW!D248</f>
        <v>748</v>
      </c>
      <c r="D248">
        <f t="shared" si="30"/>
        <v>0</v>
      </c>
      <c r="E248">
        <f t="shared" si="31"/>
        <v>0</v>
      </c>
      <c r="F248">
        <f t="shared" si="32"/>
        <v>0</v>
      </c>
      <c r="G248">
        <f t="shared" si="33"/>
        <v>0</v>
      </c>
      <c r="H248">
        <f t="shared" si="34"/>
        <v>0</v>
      </c>
      <c r="I248">
        <f t="shared" si="35"/>
        <v>0.2</v>
      </c>
      <c r="J248">
        <f t="shared" si="36"/>
        <v>0</v>
      </c>
      <c r="K248">
        <f t="shared" si="37"/>
        <v>0</v>
      </c>
      <c r="L248">
        <f t="shared" si="38"/>
        <v>0</v>
      </c>
      <c r="M248">
        <f t="shared" si="39"/>
        <v>0</v>
      </c>
    </row>
    <row r="249" spans="1:13" x14ac:dyDescent="0.25">
      <c r="A249" t="str">
        <f>MTO_RAW!A249</f>
        <v>TS40NB3.2</v>
      </c>
      <c r="B249">
        <f>MTO_RAW!C249</f>
        <v>42</v>
      </c>
      <c r="C249">
        <f>MTO_RAW!D249</f>
        <v>990</v>
      </c>
      <c r="D249">
        <f t="shared" si="30"/>
        <v>0</v>
      </c>
      <c r="E249">
        <f t="shared" si="31"/>
        <v>0</v>
      </c>
      <c r="F249">
        <f t="shared" si="32"/>
        <v>0</v>
      </c>
      <c r="G249">
        <f t="shared" si="33"/>
        <v>0</v>
      </c>
      <c r="H249">
        <f t="shared" si="34"/>
        <v>0</v>
      </c>
      <c r="I249">
        <f t="shared" si="35"/>
        <v>0.2</v>
      </c>
      <c r="J249">
        <f t="shared" si="36"/>
        <v>0</v>
      </c>
      <c r="K249">
        <f t="shared" si="37"/>
        <v>0</v>
      </c>
      <c r="L249">
        <f t="shared" si="38"/>
        <v>0</v>
      </c>
      <c r="M249">
        <f t="shared" si="39"/>
        <v>0</v>
      </c>
    </row>
    <row r="250" spans="1:13" x14ac:dyDescent="0.25">
      <c r="A250" t="str">
        <f>MTO_RAW!A250</f>
        <v>TS40NB3.2</v>
      </c>
      <c r="B250">
        <f>MTO_RAW!C250</f>
        <v>2</v>
      </c>
      <c r="C250">
        <f>MTO_RAW!D250</f>
        <v>1000</v>
      </c>
      <c r="D250">
        <f t="shared" si="30"/>
        <v>0</v>
      </c>
      <c r="E250">
        <f t="shared" si="31"/>
        <v>0</v>
      </c>
      <c r="F250">
        <f t="shared" si="32"/>
        <v>0</v>
      </c>
      <c r="G250">
        <f t="shared" si="33"/>
        <v>0</v>
      </c>
      <c r="H250">
        <f t="shared" si="34"/>
        <v>0</v>
      </c>
      <c r="I250">
        <f t="shared" si="35"/>
        <v>0.2</v>
      </c>
      <c r="J250">
        <f t="shared" si="36"/>
        <v>0</v>
      </c>
      <c r="K250">
        <f t="shared" si="37"/>
        <v>0</v>
      </c>
      <c r="L250">
        <f t="shared" si="38"/>
        <v>0</v>
      </c>
      <c r="M250">
        <f t="shared" si="39"/>
        <v>0</v>
      </c>
    </row>
    <row r="251" spans="1:13" x14ac:dyDescent="0.25">
      <c r="A251" t="str">
        <f>MTO_RAW!A251</f>
        <v>TS40NB3.2</v>
      </c>
      <c r="B251">
        <f>MTO_RAW!C251</f>
        <v>2</v>
      </c>
      <c r="C251">
        <f>MTO_RAW!D251</f>
        <v>2703</v>
      </c>
      <c r="D251">
        <f t="shared" si="30"/>
        <v>0</v>
      </c>
      <c r="E251">
        <f t="shared" si="31"/>
        <v>0</v>
      </c>
      <c r="F251">
        <f t="shared" si="32"/>
        <v>0</v>
      </c>
      <c r="G251">
        <f t="shared" si="33"/>
        <v>0</v>
      </c>
      <c r="H251">
        <f t="shared" si="34"/>
        <v>0</v>
      </c>
      <c r="I251">
        <f t="shared" si="35"/>
        <v>0.2</v>
      </c>
      <c r="J251">
        <f t="shared" si="36"/>
        <v>0</v>
      </c>
      <c r="K251">
        <f t="shared" si="37"/>
        <v>0</v>
      </c>
      <c r="L251">
        <f t="shared" si="38"/>
        <v>0</v>
      </c>
      <c r="M251">
        <f t="shared" si="39"/>
        <v>0</v>
      </c>
    </row>
    <row r="252" spans="1:13" x14ac:dyDescent="0.25">
      <c r="A252" t="str">
        <f>MTO_RAW!A252</f>
        <v>TS40NB3.2</v>
      </c>
      <c r="B252">
        <f>MTO_RAW!C252</f>
        <v>2</v>
      </c>
      <c r="C252">
        <f>MTO_RAW!D252</f>
        <v>2808</v>
      </c>
      <c r="D252">
        <f t="shared" si="30"/>
        <v>0</v>
      </c>
      <c r="E252">
        <f t="shared" si="31"/>
        <v>0</v>
      </c>
      <c r="F252">
        <f t="shared" si="32"/>
        <v>0</v>
      </c>
      <c r="G252">
        <f t="shared" si="33"/>
        <v>0</v>
      </c>
      <c r="H252">
        <f t="shared" si="34"/>
        <v>0</v>
      </c>
      <c r="I252">
        <f t="shared" si="35"/>
        <v>0.2</v>
      </c>
      <c r="J252">
        <f t="shared" si="36"/>
        <v>0</v>
      </c>
      <c r="K252">
        <f t="shared" si="37"/>
        <v>0</v>
      </c>
      <c r="L252">
        <f t="shared" si="38"/>
        <v>0</v>
      </c>
      <c r="M252">
        <f t="shared" si="39"/>
        <v>0</v>
      </c>
    </row>
    <row r="253" spans="1:13" x14ac:dyDescent="0.25">
      <c r="A253" t="str">
        <f>MTO_RAW!A253</f>
        <v>TS40NB3.2</v>
      </c>
      <c r="B253">
        <f>MTO_RAW!C253</f>
        <v>4</v>
      </c>
      <c r="C253">
        <f>MTO_RAW!D253</f>
        <v>3859</v>
      </c>
      <c r="D253">
        <f t="shared" si="30"/>
        <v>0</v>
      </c>
      <c r="E253">
        <f t="shared" si="31"/>
        <v>0</v>
      </c>
      <c r="F253">
        <f t="shared" si="32"/>
        <v>0</v>
      </c>
      <c r="G253">
        <f t="shared" si="33"/>
        <v>0</v>
      </c>
      <c r="H253">
        <f t="shared" si="34"/>
        <v>0</v>
      </c>
      <c r="I253">
        <f t="shared" si="35"/>
        <v>0.2</v>
      </c>
      <c r="J253">
        <f t="shared" si="36"/>
        <v>0</v>
      </c>
      <c r="K253">
        <f t="shared" si="37"/>
        <v>0</v>
      </c>
      <c r="L253">
        <f t="shared" si="38"/>
        <v>0</v>
      </c>
      <c r="M253">
        <f t="shared" si="39"/>
        <v>0</v>
      </c>
    </row>
    <row r="254" spans="1:13" x14ac:dyDescent="0.25">
      <c r="A254" t="str">
        <f>MTO_RAW!A254</f>
        <v>TS40NB3.2</v>
      </c>
      <c r="B254">
        <f>MTO_RAW!C254</f>
        <v>4</v>
      </c>
      <c r="C254">
        <f>MTO_RAW!D254</f>
        <v>3948</v>
      </c>
      <c r="D254">
        <f t="shared" si="30"/>
        <v>0</v>
      </c>
      <c r="E254">
        <f t="shared" si="31"/>
        <v>0</v>
      </c>
      <c r="F254">
        <f t="shared" si="32"/>
        <v>0</v>
      </c>
      <c r="G254">
        <f t="shared" si="33"/>
        <v>0</v>
      </c>
      <c r="H254">
        <f t="shared" si="34"/>
        <v>0</v>
      </c>
      <c r="I254">
        <f t="shared" si="35"/>
        <v>0.2</v>
      </c>
      <c r="J254">
        <f t="shared" si="36"/>
        <v>0</v>
      </c>
      <c r="K254">
        <f t="shared" si="37"/>
        <v>0</v>
      </c>
      <c r="L254">
        <f t="shared" si="38"/>
        <v>0</v>
      </c>
      <c r="M254">
        <f t="shared" si="39"/>
        <v>0</v>
      </c>
    </row>
    <row r="255" spans="1:13" x14ac:dyDescent="0.25">
      <c r="A255" t="str">
        <f>MTO_RAW!A255</f>
        <v>UB203*133*30</v>
      </c>
      <c r="B255">
        <f>MTO_RAW!C255</f>
        <v>4</v>
      </c>
      <c r="C255">
        <f>MTO_RAW!D255</f>
        <v>3490</v>
      </c>
      <c r="D255">
        <f t="shared" si="30"/>
        <v>0</v>
      </c>
      <c r="E255">
        <f t="shared" si="31"/>
        <v>0</v>
      </c>
      <c r="F255">
        <f t="shared" si="32"/>
        <v>0</v>
      </c>
      <c r="G255">
        <f t="shared" si="33"/>
        <v>0</v>
      </c>
      <c r="H255">
        <f t="shared" si="34"/>
        <v>0</v>
      </c>
      <c r="I255">
        <f t="shared" si="35"/>
        <v>30</v>
      </c>
      <c r="J255">
        <f t="shared" si="36"/>
        <v>0</v>
      </c>
      <c r="K255">
        <f t="shared" si="37"/>
        <v>0</v>
      </c>
      <c r="L255">
        <f t="shared" si="38"/>
        <v>0</v>
      </c>
      <c r="M255">
        <f t="shared" si="39"/>
        <v>0</v>
      </c>
    </row>
    <row r="256" spans="1:13" x14ac:dyDescent="0.25">
      <c r="A256" t="str">
        <f>MTO_RAW!A256</f>
        <v>UB305*165*46</v>
      </c>
      <c r="B256">
        <f>MTO_RAW!C256</f>
        <v>4</v>
      </c>
      <c r="C256">
        <f>MTO_RAW!D256</f>
        <v>1956</v>
      </c>
      <c r="D256">
        <f t="shared" si="30"/>
        <v>0</v>
      </c>
      <c r="E256">
        <f t="shared" si="31"/>
        <v>0</v>
      </c>
      <c r="F256">
        <f t="shared" si="32"/>
        <v>0</v>
      </c>
      <c r="G256">
        <f t="shared" si="33"/>
        <v>0</v>
      </c>
      <c r="H256">
        <f t="shared" si="34"/>
        <v>0</v>
      </c>
      <c r="I256">
        <f t="shared" si="35"/>
        <v>46</v>
      </c>
      <c r="J256">
        <f t="shared" si="36"/>
        <v>0</v>
      </c>
      <c r="K256">
        <f t="shared" si="37"/>
        <v>0</v>
      </c>
      <c r="L256">
        <f t="shared" si="38"/>
        <v>0</v>
      </c>
      <c r="M256">
        <f t="shared" si="39"/>
        <v>0</v>
      </c>
    </row>
    <row r="257" spans="1:13" x14ac:dyDescent="0.25">
      <c r="A257" t="str">
        <f>MTO_RAW!A257</f>
        <v>UB305*165*46</v>
      </c>
      <c r="B257">
        <f>MTO_RAW!C257</f>
        <v>4</v>
      </c>
      <c r="C257">
        <f>MTO_RAW!D257</f>
        <v>8000</v>
      </c>
      <c r="D257">
        <f t="shared" si="30"/>
        <v>0</v>
      </c>
      <c r="E257">
        <f t="shared" si="31"/>
        <v>0</v>
      </c>
      <c r="F257">
        <f t="shared" si="32"/>
        <v>0</v>
      </c>
      <c r="G257">
        <f t="shared" si="33"/>
        <v>0</v>
      </c>
      <c r="H257">
        <f t="shared" si="34"/>
        <v>0</v>
      </c>
      <c r="I257">
        <f t="shared" si="35"/>
        <v>46</v>
      </c>
      <c r="J257">
        <f t="shared" si="36"/>
        <v>0</v>
      </c>
      <c r="K257">
        <f t="shared" si="37"/>
        <v>0</v>
      </c>
      <c r="L257">
        <f t="shared" si="38"/>
        <v>0</v>
      </c>
      <c r="M257">
        <f t="shared" si="39"/>
        <v>0</v>
      </c>
    </row>
    <row r="258" spans="1:13" x14ac:dyDescent="0.25">
      <c r="A258" t="str">
        <f>MTO_RAW!A258</f>
        <v>UB356*171*57</v>
      </c>
      <c r="B258">
        <f>MTO_RAW!C258</f>
        <v>3</v>
      </c>
      <c r="C258">
        <f>MTO_RAW!D258</f>
        <v>2150</v>
      </c>
      <c r="D258">
        <f t="shared" ref="D258:D299" si="40">IFERROR(VALUE(LEFT(A258,FIND("*",A258)-1)),0)</f>
        <v>0</v>
      </c>
      <c r="E258">
        <f t="shared" ref="E258:E299" si="41">IFERROR(VALUE(MID(A258,FIND("*",A258)+1,FIND("-",A258)-FIND("*",A258)-1)),0)</f>
        <v>0</v>
      </c>
      <c r="F258">
        <f t="shared" ref="F258:F299" si="42">IFERROR(VALUE(MID(A258,FIND("-",A258)+1,FIND("*",A258,FIND("-",A258))-FIND("-",A258)-1)),0)</f>
        <v>0</v>
      </c>
      <c r="G258">
        <f t="shared" ref="G258:G299" si="43">IFERROR(VALUE(MID(A258,FIND("*",A258,FIND("-",A258))+1,10)),0)</f>
        <v>0</v>
      </c>
      <c r="H258">
        <f t="shared" ref="H258:H299" si="44">IFERROR(VALUE(MID(A258,FIND("-",A258,FIND("-",A258)+1)+1,5)),D258)</f>
        <v>0</v>
      </c>
      <c r="I258">
        <f t="shared" ref="I258:I299" si="45">IFERROR(VALUE(RIGHT(A258,2)),E258)</f>
        <v>57</v>
      </c>
      <c r="J258">
        <f t="shared" ref="J258:J321" si="46">IF(E258=16,(D258/1000)*(C258/1000)*(16/1000)*7850*B258,0)+IF(I258=16,(H258/1000)*(C258/1000)*(16/1000)*7850*B258,0)+IF(G258=16,(F258/1000)*(C258/1000)*(16/1000)*7850*B258,0)</f>
        <v>0</v>
      </c>
      <c r="K258">
        <f t="shared" ref="K258:K299" si="47">IF(E258=20,(D258/1000)*(C258/1000)*(20/1000)*7850*B258,0)+IF(I258=20,(H258/1000)*(C258/1000)*(20/1000)*7850*B258,0)+IF(G258=20,(F258/1000)*(C258/1000)*(20/1000)*7850*B258,0)</f>
        <v>0</v>
      </c>
      <c r="L258">
        <f t="shared" ref="L258:L299" si="48">IF(E258=32,(D258/1000)*(C258/1000)*(32/1000)*7850*B258,0)+IF(I258=32,(H258/1000)*(C258/1000)*(32/1000)*7850*B258,0)+IF(G258=32,(F258/1000)*(C258/1000)*(32/1000)*7850*B258,0)</f>
        <v>0</v>
      </c>
      <c r="M258">
        <f t="shared" ref="M258:M299" si="49">IF(E258=40,(D258/1000)*(C258/1000)*(40/1000)*7850*B258,0)+IF(I258=40,(H258/1000)*(C258/1000)*(40/1000)*7850*B258,0)+IF(G258=40,(F258/1000)*(C258/1000)*(40/1000)*7850*B258,0)</f>
        <v>0</v>
      </c>
    </row>
    <row r="259" spans="1:13" x14ac:dyDescent="0.25">
      <c r="A259" t="str">
        <f>MTO_RAW!A259</f>
        <v>UB356*171*57</v>
      </c>
      <c r="B259">
        <f>MTO_RAW!C259</f>
        <v>1</v>
      </c>
      <c r="C259">
        <f>MTO_RAW!D259</f>
        <v>3000</v>
      </c>
      <c r="D259">
        <f t="shared" si="40"/>
        <v>0</v>
      </c>
      <c r="E259">
        <f t="shared" si="41"/>
        <v>0</v>
      </c>
      <c r="F259">
        <f t="shared" si="42"/>
        <v>0</v>
      </c>
      <c r="G259">
        <f t="shared" si="43"/>
        <v>0</v>
      </c>
      <c r="H259">
        <f t="shared" si="44"/>
        <v>0</v>
      </c>
      <c r="I259">
        <f t="shared" si="45"/>
        <v>57</v>
      </c>
      <c r="J259">
        <f t="shared" si="46"/>
        <v>0</v>
      </c>
      <c r="K259">
        <f t="shared" si="47"/>
        <v>0</v>
      </c>
      <c r="L259">
        <f t="shared" si="48"/>
        <v>0</v>
      </c>
      <c r="M259">
        <f t="shared" si="49"/>
        <v>0</v>
      </c>
    </row>
    <row r="260" spans="1:13" x14ac:dyDescent="0.25">
      <c r="A260" t="str">
        <f>MTO_RAW!A260</f>
        <v>UB356*171*57</v>
      </c>
      <c r="B260">
        <f>MTO_RAW!C260</f>
        <v>5</v>
      </c>
      <c r="C260">
        <f>MTO_RAW!D260</f>
        <v>4956</v>
      </c>
      <c r="D260">
        <f t="shared" si="40"/>
        <v>0</v>
      </c>
      <c r="E260">
        <f t="shared" si="41"/>
        <v>0</v>
      </c>
      <c r="F260">
        <f t="shared" si="42"/>
        <v>0</v>
      </c>
      <c r="G260">
        <f t="shared" si="43"/>
        <v>0</v>
      </c>
      <c r="H260">
        <f t="shared" si="44"/>
        <v>0</v>
      </c>
      <c r="I260">
        <f t="shared" si="45"/>
        <v>57</v>
      </c>
      <c r="J260">
        <f t="shared" si="46"/>
        <v>0</v>
      </c>
      <c r="K260">
        <f t="shared" si="47"/>
        <v>0</v>
      </c>
      <c r="L260">
        <f t="shared" si="48"/>
        <v>0</v>
      </c>
      <c r="M260">
        <f t="shared" si="49"/>
        <v>0</v>
      </c>
    </row>
    <row r="261" spans="1:13" x14ac:dyDescent="0.25">
      <c r="A261" t="str">
        <f>MTO_RAW!A261</f>
        <v>UB356*171*57</v>
      </c>
      <c r="B261">
        <f>MTO_RAW!C261</f>
        <v>30</v>
      </c>
      <c r="C261">
        <f>MTO_RAW!D261</f>
        <v>4958</v>
      </c>
      <c r="D261">
        <f t="shared" si="40"/>
        <v>0</v>
      </c>
      <c r="E261">
        <f t="shared" si="41"/>
        <v>0</v>
      </c>
      <c r="F261">
        <f t="shared" si="42"/>
        <v>0</v>
      </c>
      <c r="G261">
        <f t="shared" si="43"/>
        <v>0</v>
      </c>
      <c r="H261">
        <f t="shared" si="44"/>
        <v>0</v>
      </c>
      <c r="I261">
        <f t="shared" si="45"/>
        <v>57</v>
      </c>
      <c r="J261">
        <f t="shared" si="46"/>
        <v>0</v>
      </c>
      <c r="K261">
        <f t="shared" si="47"/>
        <v>0</v>
      </c>
      <c r="L261">
        <f t="shared" si="48"/>
        <v>0</v>
      </c>
      <c r="M261">
        <f t="shared" si="49"/>
        <v>0</v>
      </c>
    </row>
    <row r="262" spans="1:13" x14ac:dyDescent="0.25">
      <c r="A262" t="str">
        <f>MTO_RAW!A262</f>
        <v>UB356*171*57</v>
      </c>
      <c r="B262">
        <f>MTO_RAW!C262</f>
        <v>8</v>
      </c>
      <c r="C262">
        <f>MTO_RAW!D262</f>
        <v>4960</v>
      </c>
      <c r="D262">
        <f t="shared" si="40"/>
        <v>0</v>
      </c>
      <c r="E262">
        <f t="shared" si="41"/>
        <v>0</v>
      </c>
      <c r="F262">
        <f t="shared" si="42"/>
        <v>0</v>
      </c>
      <c r="G262">
        <f t="shared" si="43"/>
        <v>0</v>
      </c>
      <c r="H262">
        <f t="shared" si="44"/>
        <v>0</v>
      </c>
      <c r="I262">
        <f t="shared" si="45"/>
        <v>57</v>
      </c>
      <c r="J262">
        <f t="shared" si="46"/>
        <v>0</v>
      </c>
      <c r="K262">
        <f t="shared" si="47"/>
        <v>0</v>
      </c>
      <c r="L262">
        <f t="shared" si="48"/>
        <v>0</v>
      </c>
      <c r="M262">
        <f t="shared" si="49"/>
        <v>0</v>
      </c>
    </row>
    <row r="263" spans="1:13" x14ac:dyDescent="0.25">
      <c r="A263" t="str">
        <f>MTO_RAW!A263</f>
        <v>UB356*171*57</v>
      </c>
      <c r="B263">
        <f>MTO_RAW!C263</f>
        <v>1</v>
      </c>
      <c r="C263">
        <f>MTO_RAW!D263</f>
        <v>4979</v>
      </c>
      <c r="D263">
        <f t="shared" si="40"/>
        <v>0</v>
      </c>
      <c r="E263">
        <f t="shared" si="41"/>
        <v>0</v>
      </c>
      <c r="F263">
        <f t="shared" si="42"/>
        <v>0</v>
      </c>
      <c r="G263">
        <f t="shared" si="43"/>
        <v>0</v>
      </c>
      <c r="H263">
        <f t="shared" si="44"/>
        <v>0</v>
      </c>
      <c r="I263">
        <f t="shared" si="45"/>
        <v>57</v>
      </c>
      <c r="J263">
        <f t="shared" si="46"/>
        <v>0</v>
      </c>
      <c r="K263">
        <f t="shared" si="47"/>
        <v>0</v>
      </c>
      <c r="L263">
        <f t="shared" si="48"/>
        <v>0</v>
      </c>
      <c r="M263">
        <f t="shared" si="49"/>
        <v>0</v>
      </c>
    </row>
    <row r="264" spans="1:13" x14ac:dyDescent="0.25">
      <c r="A264" t="str">
        <f>MTO_RAW!A264</f>
        <v>UB356*171*57</v>
      </c>
      <c r="B264">
        <f>MTO_RAW!C264</f>
        <v>7</v>
      </c>
      <c r="C264">
        <f>MTO_RAW!D264</f>
        <v>5000</v>
      </c>
      <c r="D264">
        <f t="shared" si="40"/>
        <v>0</v>
      </c>
      <c r="E264">
        <f t="shared" si="41"/>
        <v>0</v>
      </c>
      <c r="F264">
        <f t="shared" si="42"/>
        <v>0</v>
      </c>
      <c r="G264">
        <f t="shared" si="43"/>
        <v>0</v>
      </c>
      <c r="H264">
        <f t="shared" si="44"/>
        <v>0</v>
      </c>
      <c r="I264">
        <f t="shared" si="45"/>
        <v>57</v>
      </c>
      <c r="J264">
        <f t="shared" si="46"/>
        <v>0</v>
      </c>
      <c r="K264">
        <f t="shared" si="47"/>
        <v>0</v>
      </c>
      <c r="L264">
        <f t="shared" si="48"/>
        <v>0</v>
      </c>
      <c r="M264">
        <f t="shared" si="49"/>
        <v>0</v>
      </c>
    </row>
    <row r="265" spans="1:13" x14ac:dyDescent="0.25">
      <c r="A265" t="str">
        <f>MTO_RAW!A265</f>
        <v>UB356*171*57</v>
      </c>
      <c r="B265">
        <f>MTO_RAW!C265</f>
        <v>11</v>
      </c>
      <c r="C265">
        <f>MTO_RAW!D265</f>
        <v>8000</v>
      </c>
      <c r="D265">
        <f t="shared" si="40"/>
        <v>0</v>
      </c>
      <c r="E265">
        <f t="shared" si="41"/>
        <v>0</v>
      </c>
      <c r="F265">
        <f t="shared" si="42"/>
        <v>0</v>
      </c>
      <c r="G265">
        <f t="shared" si="43"/>
        <v>0</v>
      </c>
      <c r="H265">
        <f t="shared" si="44"/>
        <v>0</v>
      </c>
      <c r="I265">
        <f t="shared" si="45"/>
        <v>57</v>
      </c>
      <c r="J265">
        <f t="shared" si="46"/>
        <v>0</v>
      </c>
      <c r="K265">
        <f t="shared" si="47"/>
        <v>0</v>
      </c>
      <c r="L265">
        <f t="shared" si="48"/>
        <v>0</v>
      </c>
      <c r="M265">
        <f t="shared" si="49"/>
        <v>0</v>
      </c>
    </row>
    <row r="266" spans="1:13" x14ac:dyDescent="0.25">
      <c r="A266" t="str">
        <f>MTO_RAW!A266</f>
        <v>UB406*178*67</v>
      </c>
      <c r="B266">
        <f>MTO_RAW!C266</f>
        <v>14</v>
      </c>
      <c r="C266">
        <f>MTO_RAW!D266</f>
        <v>350</v>
      </c>
      <c r="D266">
        <f t="shared" si="40"/>
        <v>0</v>
      </c>
      <c r="E266">
        <f t="shared" si="41"/>
        <v>0</v>
      </c>
      <c r="F266">
        <f t="shared" si="42"/>
        <v>0</v>
      </c>
      <c r="G266">
        <f t="shared" si="43"/>
        <v>0</v>
      </c>
      <c r="H266">
        <f t="shared" si="44"/>
        <v>0</v>
      </c>
      <c r="I266">
        <f t="shared" si="45"/>
        <v>67</v>
      </c>
      <c r="J266">
        <f t="shared" si="46"/>
        <v>0</v>
      </c>
      <c r="K266">
        <f t="shared" si="47"/>
        <v>0</v>
      </c>
      <c r="L266">
        <f t="shared" si="48"/>
        <v>0</v>
      </c>
      <c r="M266">
        <f t="shared" si="49"/>
        <v>0</v>
      </c>
    </row>
    <row r="267" spans="1:13" x14ac:dyDescent="0.25">
      <c r="A267" t="str">
        <f>MTO_RAW!A267</f>
        <v>UB406*178*67</v>
      </c>
      <c r="B267">
        <f>MTO_RAW!C267</f>
        <v>3</v>
      </c>
      <c r="C267">
        <f>MTO_RAW!D267</f>
        <v>5000</v>
      </c>
      <c r="D267">
        <f t="shared" si="40"/>
        <v>0</v>
      </c>
      <c r="E267">
        <f t="shared" si="41"/>
        <v>0</v>
      </c>
      <c r="F267">
        <f t="shared" si="42"/>
        <v>0</v>
      </c>
      <c r="G267">
        <f t="shared" si="43"/>
        <v>0</v>
      </c>
      <c r="H267">
        <f t="shared" si="44"/>
        <v>0</v>
      </c>
      <c r="I267">
        <f t="shared" si="45"/>
        <v>67</v>
      </c>
      <c r="J267">
        <f t="shared" si="46"/>
        <v>0</v>
      </c>
      <c r="K267">
        <f t="shared" si="47"/>
        <v>0</v>
      </c>
      <c r="L267">
        <f t="shared" si="48"/>
        <v>0</v>
      </c>
      <c r="M267">
        <f t="shared" si="49"/>
        <v>0</v>
      </c>
    </row>
    <row r="268" spans="1:13" x14ac:dyDescent="0.25">
      <c r="A268" t="str">
        <f>MTO_RAW!A268</f>
        <v>UB406*178*67</v>
      </c>
      <c r="B268">
        <f>MTO_RAW!C268</f>
        <v>2</v>
      </c>
      <c r="C268">
        <f>MTO_RAW!D268</f>
        <v>6454</v>
      </c>
      <c r="D268">
        <f t="shared" si="40"/>
        <v>0</v>
      </c>
      <c r="E268">
        <f t="shared" si="41"/>
        <v>0</v>
      </c>
      <c r="F268">
        <f t="shared" si="42"/>
        <v>0</v>
      </c>
      <c r="G268">
        <f t="shared" si="43"/>
        <v>0</v>
      </c>
      <c r="H268">
        <f t="shared" si="44"/>
        <v>0</v>
      </c>
      <c r="I268">
        <f t="shared" si="45"/>
        <v>67</v>
      </c>
      <c r="J268">
        <f t="shared" si="46"/>
        <v>0</v>
      </c>
      <c r="K268">
        <f t="shared" si="47"/>
        <v>0</v>
      </c>
      <c r="L268">
        <f t="shared" si="48"/>
        <v>0</v>
      </c>
      <c r="M268">
        <f t="shared" si="49"/>
        <v>0</v>
      </c>
    </row>
    <row r="269" spans="1:13" x14ac:dyDescent="0.25">
      <c r="A269" t="str">
        <f>MTO_RAW!A269</f>
        <v>UB406*178*67</v>
      </c>
      <c r="B269">
        <f>MTO_RAW!C269</f>
        <v>1</v>
      </c>
      <c r="C269">
        <f>MTO_RAW!D269</f>
        <v>7250</v>
      </c>
      <c r="D269">
        <f t="shared" si="40"/>
        <v>0</v>
      </c>
      <c r="E269">
        <f t="shared" si="41"/>
        <v>0</v>
      </c>
      <c r="F269">
        <f t="shared" si="42"/>
        <v>0</v>
      </c>
      <c r="G269">
        <f t="shared" si="43"/>
        <v>0</v>
      </c>
      <c r="H269">
        <f t="shared" si="44"/>
        <v>0</v>
      </c>
      <c r="I269">
        <f t="shared" si="45"/>
        <v>67</v>
      </c>
      <c r="J269">
        <f t="shared" si="46"/>
        <v>0</v>
      </c>
      <c r="K269">
        <f t="shared" si="47"/>
        <v>0</v>
      </c>
      <c r="L269">
        <f t="shared" si="48"/>
        <v>0</v>
      </c>
      <c r="M269">
        <f t="shared" si="49"/>
        <v>0</v>
      </c>
    </row>
    <row r="270" spans="1:13" x14ac:dyDescent="0.25">
      <c r="A270" t="str">
        <f>MTO_RAW!A270</f>
        <v>UB406*178*67</v>
      </c>
      <c r="B270">
        <f>MTO_RAW!C270</f>
        <v>12</v>
      </c>
      <c r="C270">
        <f>MTO_RAW!D270</f>
        <v>7954</v>
      </c>
      <c r="D270">
        <f t="shared" si="40"/>
        <v>0</v>
      </c>
      <c r="E270">
        <f t="shared" si="41"/>
        <v>0</v>
      </c>
      <c r="F270">
        <f t="shared" si="42"/>
        <v>0</v>
      </c>
      <c r="G270">
        <f t="shared" si="43"/>
        <v>0</v>
      </c>
      <c r="H270">
        <f t="shared" si="44"/>
        <v>0</v>
      </c>
      <c r="I270">
        <f t="shared" si="45"/>
        <v>67</v>
      </c>
      <c r="J270">
        <f t="shared" si="46"/>
        <v>0</v>
      </c>
      <c r="K270">
        <f t="shared" si="47"/>
        <v>0</v>
      </c>
      <c r="L270">
        <f t="shared" si="48"/>
        <v>0</v>
      </c>
      <c r="M270">
        <f t="shared" si="49"/>
        <v>0</v>
      </c>
    </row>
    <row r="271" spans="1:13" x14ac:dyDescent="0.25">
      <c r="A271" t="str">
        <f>MTO_RAW!A271</f>
        <v>UB406*178*67</v>
      </c>
      <c r="B271">
        <f>MTO_RAW!C271</f>
        <v>10</v>
      </c>
      <c r="C271">
        <f>MTO_RAW!D271</f>
        <v>8000</v>
      </c>
      <c r="D271">
        <f t="shared" si="40"/>
        <v>0</v>
      </c>
      <c r="E271">
        <f t="shared" si="41"/>
        <v>0</v>
      </c>
      <c r="F271">
        <f t="shared" si="42"/>
        <v>0</v>
      </c>
      <c r="G271">
        <f t="shared" si="43"/>
        <v>0</v>
      </c>
      <c r="H271">
        <f t="shared" si="44"/>
        <v>0</v>
      </c>
      <c r="I271">
        <f t="shared" si="45"/>
        <v>67</v>
      </c>
      <c r="J271">
        <f t="shared" si="46"/>
        <v>0</v>
      </c>
      <c r="K271">
        <f t="shared" si="47"/>
        <v>0</v>
      </c>
      <c r="L271">
        <f t="shared" si="48"/>
        <v>0</v>
      </c>
      <c r="M271">
        <f t="shared" si="49"/>
        <v>0</v>
      </c>
    </row>
    <row r="272" spans="1:13" x14ac:dyDescent="0.25">
      <c r="A272" t="str">
        <f>MTO_RAW!A272</f>
        <v>UB406X178X67</v>
      </c>
      <c r="B272">
        <f>MTO_RAW!C272</f>
        <v>1</v>
      </c>
      <c r="C272">
        <f>MTO_RAW!D272</f>
        <v>5000</v>
      </c>
      <c r="D272">
        <f t="shared" si="40"/>
        <v>0</v>
      </c>
      <c r="E272">
        <f t="shared" si="41"/>
        <v>0</v>
      </c>
      <c r="F272">
        <f t="shared" si="42"/>
        <v>0</v>
      </c>
      <c r="G272">
        <f t="shared" si="43"/>
        <v>0</v>
      </c>
      <c r="H272">
        <f t="shared" si="44"/>
        <v>0</v>
      </c>
      <c r="I272">
        <f t="shared" si="45"/>
        <v>67</v>
      </c>
      <c r="J272">
        <f t="shared" si="46"/>
        <v>0</v>
      </c>
      <c r="K272">
        <f t="shared" si="47"/>
        <v>0</v>
      </c>
      <c r="L272">
        <f t="shared" si="48"/>
        <v>0</v>
      </c>
      <c r="M272">
        <f t="shared" si="49"/>
        <v>0</v>
      </c>
    </row>
    <row r="273" spans="1:13" x14ac:dyDescent="0.25">
      <c r="A273" t="str">
        <f>MTO_RAW!A273</f>
        <v>UB406X178X67</v>
      </c>
      <c r="B273">
        <f>MTO_RAW!C273</f>
        <v>1</v>
      </c>
      <c r="C273">
        <f>MTO_RAW!D273</f>
        <v>7250</v>
      </c>
      <c r="D273">
        <f t="shared" si="40"/>
        <v>0</v>
      </c>
      <c r="E273">
        <f t="shared" si="41"/>
        <v>0</v>
      </c>
      <c r="F273">
        <f t="shared" si="42"/>
        <v>0</v>
      </c>
      <c r="G273">
        <f t="shared" si="43"/>
        <v>0</v>
      </c>
      <c r="H273">
        <f t="shared" si="44"/>
        <v>0</v>
      </c>
      <c r="I273">
        <f t="shared" si="45"/>
        <v>67</v>
      </c>
      <c r="J273">
        <f t="shared" si="46"/>
        <v>0</v>
      </c>
      <c r="K273">
        <f t="shared" si="47"/>
        <v>0</v>
      </c>
      <c r="L273">
        <f t="shared" si="48"/>
        <v>0</v>
      </c>
      <c r="M273">
        <f t="shared" si="49"/>
        <v>0</v>
      </c>
    </row>
    <row r="274" spans="1:13" x14ac:dyDescent="0.25">
      <c r="A274" t="str">
        <f>MTO_RAW!A274</f>
        <v>UB457*152*74</v>
      </c>
      <c r="B274">
        <f>MTO_RAW!C274</f>
        <v>3</v>
      </c>
      <c r="C274">
        <f>MTO_RAW!D274</f>
        <v>8000</v>
      </c>
      <c r="D274">
        <f t="shared" si="40"/>
        <v>0</v>
      </c>
      <c r="E274">
        <f t="shared" si="41"/>
        <v>0</v>
      </c>
      <c r="F274">
        <f t="shared" si="42"/>
        <v>0</v>
      </c>
      <c r="G274">
        <f t="shared" si="43"/>
        <v>0</v>
      </c>
      <c r="H274">
        <f t="shared" si="44"/>
        <v>0</v>
      </c>
      <c r="I274">
        <f t="shared" si="45"/>
        <v>74</v>
      </c>
      <c r="J274">
        <f t="shared" si="46"/>
        <v>0</v>
      </c>
      <c r="K274">
        <f t="shared" si="47"/>
        <v>0</v>
      </c>
      <c r="L274">
        <f t="shared" si="48"/>
        <v>0</v>
      </c>
      <c r="M274">
        <f t="shared" si="49"/>
        <v>0</v>
      </c>
    </row>
    <row r="275" spans="1:13" x14ac:dyDescent="0.25">
      <c r="A275" t="str">
        <f>MTO_RAW!A275</f>
        <v>UB457*191*74</v>
      </c>
      <c r="B275">
        <f>MTO_RAW!C275</f>
        <v>1</v>
      </c>
      <c r="C275">
        <f>MTO_RAW!D275</f>
        <v>8000</v>
      </c>
      <c r="D275">
        <f t="shared" si="40"/>
        <v>0</v>
      </c>
      <c r="E275">
        <f t="shared" si="41"/>
        <v>0</v>
      </c>
      <c r="F275">
        <f t="shared" si="42"/>
        <v>0</v>
      </c>
      <c r="G275">
        <f t="shared" si="43"/>
        <v>0</v>
      </c>
      <c r="H275">
        <f t="shared" si="44"/>
        <v>0</v>
      </c>
      <c r="I275">
        <f t="shared" si="45"/>
        <v>74</v>
      </c>
      <c r="J275">
        <f t="shared" si="46"/>
        <v>0</v>
      </c>
      <c r="K275">
        <f t="shared" si="47"/>
        <v>0</v>
      </c>
      <c r="L275">
        <f t="shared" si="48"/>
        <v>0</v>
      </c>
      <c r="M275">
        <f t="shared" si="49"/>
        <v>0</v>
      </c>
    </row>
    <row r="276" spans="1:13" x14ac:dyDescent="0.25">
      <c r="A276">
        <f>MTO_RAW!A276</f>
        <v>0</v>
      </c>
      <c r="B276">
        <f>MTO_RAW!C276</f>
        <v>0</v>
      </c>
      <c r="C276">
        <f>MTO_RAW!D276</f>
        <v>0</v>
      </c>
      <c r="D276">
        <f t="shared" si="40"/>
        <v>0</v>
      </c>
      <c r="E276">
        <f t="shared" si="41"/>
        <v>0</v>
      </c>
      <c r="F276">
        <f t="shared" si="42"/>
        <v>0</v>
      </c>
      <c r="G276">
        <f t="shared" si="43"/>
        <v>0</v>
      </c>
      <c r="H276">
        <f t="shared" si="44"/>
        <v>0</v>
      </c>
      <c r="I276">
        <f t="shared" si="45"/>
        <v>0</v>
      </c>
      <c r="J276">
        <f t="shared" si="46"/>
        <v>0</v>
      </c>
      <c r="K276">
        <f t="shared" si="47"/>
        <v>0</v>
      </c>
      <c r="L276">
        <f t="shared" si="48"/>
        <v>0</v>
      </c>
      <c r="M276">
        <f t="shared" si="49"/>
        <v>0</v>
      </c>
    </row>
    <row r="277" spans="1:13" x14ac:dyDescent="0.25">
      <c r="A277">
        <f>MTO_RAW!A277</f>
        <v>0</v>
      </c>
      <c r="B277">
        <f>MTO_RAW!C277</f>
        <v>0</v>
      </c>
      <c r="C277">
        <f>MTO_RAW!D277</f>
        <v>0</v>
      </c>
      <c r="D277">
        <f t="shared" si="40"/>
        <v>0</v>
      </c>
      <c r="E277">
        <f t="shared" si="41"/>
        <v>0</v>
      </c>
      <c r="F277">
        <f t="shared" si="42"/>
        <v>0</v>
      </c>
      <c r="G277">
        <f t="shared" si="43"/>
        <v>0</v>
      </c>
      <c r="H277">
        <f t="shared" si="44"/>
        <v>0</v>
      </c>
      <c r="I277">
        <f t="shared" si="45"/>
        <v>0</v>
      </c>
      <c r="J277">
        <f t="shared" si="46"/>
        <v>0</v>
      </c>
      <c r="K277">
        <f t="shared" si="47"/>
        <v>0</v>
      </c>
      <c r="L277">
        <f t="shared" si="48"/>
        <v>0</v>
      </c>
      <c r="M277">
        <f t="shared" si="49"/>
        <v>0</v>
      </c>
    </row>
    <row r="278" spans="1:13" x14ac:dyDescent="0.25">
      <c r="A278">
        <f>MTO_RAW!A278</f>
        <v>0</v>
      </c>
      <c r="B278">
        <f>MTO_RAW!C278</f>
        <v>0</v>
      </c>
      <c r="C278">
        <f>MTO_RAW!D278</f>
        <v>0</v>
      </c>
      <c r="D278">
        <f t="shared" si="40"/>
        <v>0</v>
      </c>
      <c r="E278">
        <f t="shared" si="41"/>
        <v>0</v>
      </c>
      <c r="F278">
        <f t="shared" si="42"/>
        <v>0</v>
      </c>
      <c r="G278">
        <f t="shared" si="43"/>
        <v>0</v>
      </c>
      <c r="H278">
        <f t="shared" si="44"/>
        <v>0</v>
      </c>
      <c r="I278">
        <f t="shared" si="45"/>
        <v>0</v>
      </c>
      <c r="J278">
        <f t="shared" si="46"/>
        <v>0</v>
      </c>
      <c r="K278">
        <f t="shared" si="47"/>
        <v>0</v>
      </c>
      <c r="L278">
        <f t="shared" si="48"/>
        <v>0</v>
      </c>
      <c r="M278">
        <f t="shared" si="49"/>
        <v>0</v>
      </c>
    </row>
    <row r="279" spans="1:13" x14ac:dyDescent="0.25">
      <c r="A279">
        <f>MTO_RAW!A279</f>
        <v>0</v>
      </c>
      <c r="B279">
        <f>MTO_RAW!C279</f>
        <v>0</v>
      </c>
      <c r="C279">
        <f>MTO_RAW!D279</f>
        <v>0</v>
      </c>
      <c r="D279">
        <f t="shared" si="40"/>
        <v>0</v>
      </c>
      <c r="E279">
        <f t="shared" si="41"/>
        <v>0</v>
      </c>
      <c r="F279">
        <f t="shared" si="42"/>
        <v>0</v>
      </c>
      <c r="G279">
        <f t="shared" si="43"/>
        <v>0</v>
      </c>
      <c r="H279">
        <f t="shared" si="44"/>
        <v>0</v>
      </c>
      <c r="I279">
        <f t="shared" si="45"/>
        <v>0</v>
      </c>
      <c r="J279">
        <f t="shared" si="46"/>
        <v>0</v>
      </c>
      <c r="K279">
        <f t="shared" si="47"/>
        <v>0</v>
      </c>
      <c r="L279">
        <f t="shared" si="48"/>
        <v>0</v>
      </c>
      <c r="M279">
        <f t="shared" si="49"/>
        <v>0</v>
      </c>
    </row>
    <row r="280" spans="1:13" x14ac:dyDescent="0.25">
      <c r="A280">
        <f>MTO_RAW!A280</f>
        <v>0</v>
      </c>
      <c r="B280">
        <f>MTO_RAW!C280</f>
        <v>0</v>
      </c>
      <c r="C280">
        <f>MTO_RAW!D280</f>
        <v>0</v>
      </c>
      <c r="D280">
        <f t="shared" si="40"/>
        <v>0</v>
      </c>
      <c r="E280">
        <f t="shared" si="41"/>
        <v>0</v>
      </c>
      <c r="F280">
        <f t="shared" si="42"/>
        <v>0</v>
      </c>
      <c r="G280">
        <f t="shared" si="43"/>
        <v>0</v>
      </c>
      <c r="H280">
        <f t="shared" si="44"/>
        <v>0</v>
      </c>
      <c r="I280">
        <f t="shared" si="45"/>
        <v>0</v>
      </c>
      <c r="J280">
        <f t="shared" si="46"/>
        <v>0</v>
      </c>
      <c r="K280">
        <f t="shared" si="47"/>
        <v>0</v>
      </c>
      <c r="L280">
        <f t="shared" si="48"/>
        <v>0</v>
      </c>
      <c r="M280">
        <f t="shared" si="49"/>
        <v>0</v>
      </c>
    </row>
    <row r="281" spans="1:13" x14ac:dyDescent="0.25">
      <c r="A281">
        <f>MTO_RAW!A281</f>
        <v>0</v>
      </c>
      <c r="B281">
        <f>MTO_RAW!C281</f>
        <v>0</v>
      </c>
      <c r="C281">
        <f>MTO_RAW!D281</f>
        <v>0</v>
      </c>
      <c r="D281">
        <f t="shared" si="40"/>
        <v>0</v>
      </c>
      <c r="E281">
        <f t="shared" si="41"/>
        <v>0</v>
      </c>
      <c r="F281">
        <f t="shared" si="42"/>
        <v>0</v>
      </c>
      <c r="G281">
        <f t="shared" si="43"/>
        <v>0</v>
      </c>
      <c r="H281">
        <f t="shared" si="44"/>
        <v>0</v>
      </c>
      <c r="I281">
        <f t="shared" si="45"/>
        <v>0</v>
      </c>
      <c r="J281">
        <f t="shared" si="46"/>
        <v>0</v>
      </c>
      <c r="K281">
        <f t="shared" si="47"/>
        <v>0</v>
      </c>
      <c r="L281">
        <f t="shared" si="48"/>
        <v>0</v>
      </c>
      <c r="M281">
        <f t="shared" si="49"/>
        <v>0</v>
      </c>
    </row>
    <row r="282" spans="1:13" x14ac:dyDescent="0.25">
      <c r="A282">
        <f>MTO_RAW!A282</f>
        <v>0</v>
      </c>
      <c r="B282">
        <f>MTO_RAW!C282</f>
        <v>0</v>
      </c>
      <c r="C282">
        <f>MTO_RAW!D282</f>
        <v>0</v>
      </c>
      <c r="D282">
        <f t="shared" si="40"/>
        <v>0</v>
      </c>
      <c r="E282">
        <f t="shared" si="41"/>
        <v>0</v>
      </c>
      <c r="F282">
        <f t="shared" si="42"/>
        <v>0</v>
      </c>
      <c r="G282">
        <f t="shared" si="43"/>
        <v>0</v>
      </c>
      <c r="H282">
        <f t="shared" si="44"/>
        <v>0</v>
      </c>
      <c r="I282">
        <f t="shared" si="45"/>
        <v>0</v>
      </c>
      <c r="J282">
        <f t="shared" si="46"/>
        <v>0</v>
      </c>
      <c r="K282">
        <f t="shared" si="47"/>
        <v>0</v>
      </c>
      <c r="L282">
        <f t="shared" si="48"/>
        <v>0</v>
      </c>
      <c r="M282">
        <f t="shared" si="49"/>
        <v>0</v>
      </c>
    </row>
    <row r="283" spans="1:13" x14ac:dyDescent="0.25">
      <c r="A283">
        <f>MTO_RAW!A283</f>
        <v>0</v>
      </c>
      <c r="B283">
        <f>MTO_RAW!C283</f>
        <v>0</v>
      </c>
      <c r="C283">
        <f>MTO_RAW!D283</f>
        <v>0</v>
      </c>
      <c r="D283">
        <f t="shared" si="40"/>
        <v>0</v>
      </c>
      <c r="E283">
        <f t="shared" si="41"/>
        <v>0</v>
      </c>
      <c r="F283">
        <f t="shared" si="42"/>
        <v>0</v>
      </c>
      <c r="G283">
        <f t="shared" si="43"/>
        <v>0</v>
      </c>
      <c r="H283">
        <f t="shared" si="44"/>
        <v>0</v>
      </c>
      <c r="I283">
        <f t="shared" si="45"/>
        <v>0</v>
      </c>
      <c r="J283">
        <f t="shared" si="46"/>
        <v>0</v>
      </c>
      <c r="K283">
        <f t="shared" si="47"/>
        <v>0</v>
      </c>
      <c r="L283">
        <f t="shared" si="48"/>
        <v>0</v>
      </c>
      <c r="M283">
        <f t="shared" si="49"/>
        <v>0</v>
      </c>
    </row>
    <row r="284" spans="1:13" x14ac:dyDescent="0.25">
      <c r="A284">
        <f>MTO_RAW!A284</f>
        <v>0</v>
      </c>
      <c r="B284">
        <f>MTO_RAW!C284</f>
        <v>0</v>
      </c>
      <c r="C284">
        <f>MTO_RAW!D284</f>
        <v>0</v>
      </c>
      <c r="D284">
        <f t="shared" si="40"/>
        <v>0</v>
      </c>
      <c r="E284">
        <f t="shared" si="41"/>
        <v>0</v>
      </c>
      <c r="F284">
        <f t="shared" si="42"/>
        <v>0</v>
      </c>
      <c r="G284">
        <f t="shared" si="43"/>
        <v>0</v>
      </c>
      <c r="H284">
        <f t="shared" si="44"/>
        <v>0</v>
      </c>
      <c r="I284">
        <f t="shared" si="45"/>
        <v>0</v>
      </c>
      <c r="J284">
        <f t="shared" si="46"/>
        <v>0</v>
      </c>
      <c r="K284">
        <f t="shared" si="47"/>
        <v>0</v>
      </c>
      <c r="L284">
        <f t="shared" si="48"/>
        <v>0</v>
      </c>
      <c r="M284">
        <f t="shared" si="49"/>
        <v>0</v>
      </c>
    </row>
    <row r="285" spans="1:13" x14ac:dyDescent="0.25">
      <c r="A285">
        <f>MTO_RAW!A285</f>
        <v>0</v>
      </c>
      <c r="B285">
        <f>MTO_RAW!C285</f>
        <v>0</v>
      </c>
      <c r="C285">
        <f>MTO_RAW!D285</f>
        <v>0</v>
      </c>
      <c r="D285">
        <f t="shared" si="40"/>
        <v>0</v>
      </c>
      <c r="E285">
        <f t="shared" si="41"/>
        <v>0</v>
      </c>
      <c r="F285">
        <f t="shared" si="42"/>
        <v>0</v>
      </c>
      <c r="G285">
        <f t="shared" si="43"/>
        <v>0</v>
      </c>
      <c r="H285">
        <f t="shared" si="44"/>
        <v>0</v>
      </c>
      <c r="I285">
        <f t="shared" si="45"/>
        <v>0</v>
      </c>
      <c r="J285">
        <f t="shared" si="46"/>
        <v>0</v>
      </c>
      <c r="K285">
        <f t="shared" si="47"/>
        <v>0</v>
      </c>
      <c r="L285">
        <f t="shared" si="48"/>
        <v>0</v>
      </c>
      <c r="M285">
        <f t="shared" si="49"/>
        <v>0</v>
      </c>
    </row>
    <row r="286" spans="1:13" x14ac:dyDescent="0.25">
      <c r="A286">
        <f>MTO_RAW!A286</f>
        <v>0</v>
      </c>
      <c r="B286">
        <f>MTO_RAW!C286</f>
        <v>0</v>
      </c>
      <c r="C286">
        <f>MTO_RAW!D286</f>
        <v>0</v>
      </c>
      <c r="D286">
        <f t="shared" si="40"/>
        <v>0</v>
      </c>
      <c r="E286">
        <f t="shared" si="41"/>
        <v>0</v>
      </c>
      <c r="F286">
        <f t="shared" si="42"/>
        <v>0</v>
      </c>
      <c r="G286">
        <f t="shared" si="43"/>
        <v>0</v>
      </c>
      <c r="H286">
        <f t="shared" si="44"/>
        <v>0</v>
      </c>
      <c r="I286">
        <f t="shared" si="45"/>
        <v>0</v>
      </c>
      <c r="J286">
        <f t="shared" si="46"/>
        <v>0</v>
      </c>
      <c r="K286">
        <f t="shared" si="47"/>
        <v>0</v>
      </c>
      <c r="L286">
        <f t="shared" si="48"/>
        <v>0</v>
      </c>
      <c r="M286">
        <f t="shared" si="49"/>
        <v>0</v>
      </c>
    </row>
    <row r="287" spans="1:13" x14ac:dyDescent="0.25">
      <c r="A287">
        <f>MTO_RAW!A287</f>
        <v>0</v>
      </c>
      <c r="B287">
        <f>MTO_RAW!C287</f>
        <v>0</v>
      </c>
      <c r="C287">
        <f>MTO_RAW!D287</f>
        <v>0</v>
      </c>
      <c r="D287">
        <f t="shared" si="40"/>
        <v>0</v>
      </c>
      <c r="E287">
        <f t="shared" si="41"/>
        <v>0</v>
      </c>
      <c r="F287">
        <f t="shared" si="42"/>
        <v>0</v>
      </c>
      <c r="G287">
        <f t="shared" si="43"/>
        <v>0</v>
      </c>
      <c r="H287">
        <f t="shared" si="44"/>
        <v>0</v>
      </c>
      <c r="I287">
        <f t="shared" si="45"/>
        <v>0</v>
      </c>
      <c r="J287">
        <f t="shared" si="46"/>
        <v>0</v>
      </c>
      <c r="K287">
        <f t="shared" si="47"/>
        <v>0</v>
      </c>
      <c r="L287">
        <f t="shared" si="48"/>
        <v>0</v>
      </c>
      <c r="M287">
        <f t="shared" si="49"/>
        <v>0</v>
      </c>
    </row>
    <row r="288" spans="1:13" x14ac:dyDescent="0.25">
      <c r="A288">
        <f>MTO_RAW!A288</f>
        <v>0</v>
      </c>
      <c r="B288">
        <f>MTO_RAW!C288</f>
        <v>0</v>
      </c>
      <c r="C288">
        <f>MTO_RAW!D288</f>
        <v>0</v>
      </c>
      <c r="D288">
        <f t="shared" si="40"/>
        <v>0</v>
      </c>
      <c r="E288">
        <f t="shared" si="41"/>
        <v>0</v>
      </c>
      <c r="F288">
        <f t="shared" si="42"/>
        <v>0</v>
      </c>
      <c r="G288">
        <f t="shared" si="43"/>
        <v>0</v>
      </c>
      <c r="H288">
        <f t="shared" si="44"/>
        <v>0</v>
      </c>
      <c r="I288">
        <f t="shared" si="45"/>
        <v>0</v>
      </c>
      <c r="J288">
        <f t="shared" si="46"/>
        <v>0</v>
      </c>
      <c r="K288">
        <f t="shared" si="47"/>
        <v>0</v>
      </c>
      <c r="L288">
        <f t="shared" si="48"/>
        <v>0</v>
      </c>
      <c r="M288">
        <f t="shared" si="49"/>
        <v>0</v>
      </c>
    </row>
    <row r="289" spans="1:13" x14ac:dyDescent="0.25">
      <c r="A289">
        <f>MTO_RAW!A289</f>
        <v>0</v>
      </c>
      <c r="B289">
        <f>MTO_RAW!C289</f>
        <v>0</v>
      </c>
      <c r="C289">
        <f>MTO_RAW!D289</f>
        <v>0</v>
      </c>
      <c r="D289">
        <f t="shared" si="40"/>
        <v>0</v>
      </c>
      <c r="E289">
        <f t="shared" si="41"/>
        <v>0</v>
      </c>
      <c r="F289">
        <f t="shared" si="42"/>
        <v>0</v>
      </c>
      <c r="G289">
        <f t="shared" si="43"/>
        <v>0</v>
      </c>
      <c r="H289">
        <f t="shared" si="44"/>
        <v>0</v>
      </c>
      <c r="I289">
        <f t="shared" si="45"/>
        <v>0</v>
      </c>
      <c r="J289">
        <f t="shared" si="46"/>
        <v>0</v>
      </c>
      <c r="K289">
        <f t="shared" si="47"/>
        <v>0</v>
      </c>
      <c r="L289">
        <f t="shared" si="48"/>
        <v>0</v>
      </c>
      <c r="M289">
        <f t="shared" si="49"/>
        <v>0</v>
      </c>
    </row>
    <row r="290" spans="1:13" x14ac:dyDescent="0.25">
      <c r="A290">
        <f>MTO_RAW!A290</f>
        <v>0</v>
      </c>
      <c r="B290">
        <f>MTO_RAW!C290</f>
        <v>0</v>
      </c>
      <c r="C290">
        <f>MTO_RAW!D290</f>
        <v>0</v>
      </c>
      <c r="D290">
        <f t="shared" si="40"/>
        <v>0</v>
      </c>
      <c r="E290">
        <f t="shared" si="41"/>
        <v>0</v>
      </c>
      <c r="F290">
        <f t="shared" si="42"/>
        <v>0</v>
      </c>
      <c r="G290">
        <f t="shared" si="43"/>
        <v>0</v>
      </c>
      <c r="H290">
        <f t="shared" si="44"/>
        <v>0</v>
      </c>
      <c r="I290">
        <f t="shared" si="45"/>
        <v>0</v>
      </c>
      <c r="J290">
        <f t="shared" si="46"/>
        <v>0</v>
      </c>
      <c r="K290">
        <f t="shared" si="47"/>
        <v>0</v>
      </c>
      <c r="L290">
        <f t="shared" si="48"/>
        <v>0</v>
      </c>
      <c r="M290">
        <f t="shared" si="49"/>
        <v>0</v>
      </c>
    </row>
    <row r="291" spans="1:13" x14ac:dyDescent="0.25">
      <c r="A291">
        <f>MTO_RAW!A291</f>
        <v>0</v>
      </c>
      <c r="B291">
        <f>MTO_RAW!C291</f>
        <v>0</v>
      </c>
      <c r="C291">
        <f>MTO_RAW!D291</f>
        <v>0</v>
      </c>
      <c r="D291">
        <f t="shared" si="40"/>
        <v>0</v>
      </c>
      <c r="E291">
        <f t="shared" si="41"/>
        <v>0</v>
      </c>
      <c r="F291">
        <f t="shared" si="42"/>
        <v>0</v>
      </c>
      <c r="G291">
        <f t="shared" si="43"/>
        <v>0</v>
      </c>
      <c r="H291">
        <f t="shared" si="44"/>
        <v>0</v>
      </c>
      <c r="I291">
        <f t="shared" si="45"/>
        <v>0</v>
      </c>
      <c r="J291">
        <f t="shared" si="46"/>
        <v>0</v>
      </c>
      <c r="K291">
        <f t="shared" si="47"/>
        <v>0</v>
      </c>
      <c r="L291">
        <f t="shared" si="48"/>
        <v>0</v>
      </c>
      <c r="M291">
        <f t="shared" si="49"/>
        <v>0</v>
      </c>
    </row>
    <row r="292" spans="1:13" x14ac:dyDescent="0.25">
      <c r="A292">
        <f>MTO_RAW!A292</f>
        <v>0</v>
      </c>
      <c r="B292">
        <f>MTO_RAW!C292</f>
        <v>0</v>
      </c>
      <c r="C292">
        <f>MTO_RAW!D292</f>
        <v>0</v>
      </c>
      <c r="D292">
        <f t="shared" si="40"/>
        <v>0</v>
      </c>
      <c r="E292">
        <f t="shared" si="41"/>
        <v>0</v>
      </c>
      <c r="F292">
        <f t="shared" si="42"/>
        <v>0</v>
      </c>
      <c r="G292">
        <f t="shared" si="43"/>
        <v>0</v>
      </c>
      <c r="H292">
        <f t="shared" si="44"/>
        <v>0</v>
      </c>
      <c r="I292">
        <f t="shared" si="45"/>
        <v>0</v>
      </c>
      <c r="J292">
        <f t="shared" si="46"/>
        <v>0</v>
      </c>
      <c r="K292">
        <f t="shared" si="47"/>
        <v>0</v>
      </c>
      <c r="L292">
        <f t="shared" si="48"/>
        <v>0</v>
      </c>
      <c r="M292">
        <f t="shared" si="49"/>
        <v>0</v>
      </c>
    </row>
    <row r="293" spans="1:13" x14ac:dyDescent="0.25">
      <c r="A293">
        <f>MTO_RAW!A293</f>
        <v>0</v>
      </c>
      <c r="B293">
        <f>MTO_RAW!C293</f>
        <v>0</v>
      </c>
      <c r="C293">
        <f>MTO_RAW!D293</f>
        <v>0</v>
      </c>
      <c r="D293">
        <f t="shared" si="40"/>
        <v>0</v>
      </c>
      <c r="E293">
        <f t="shared" si="41"/>
        <v>0</v>
      </c>
      <c r="F293">
        <f t="shared" si="42"/>
        <v>0</v>
      </c>
      <c r="G293">
        <f t="shared" si="43"/>
        <v>0</v>
      </c>
      <c r="H293">
        <f t="shared" si="44"/>
        <v>0</v>
      </c>
      <c r="I293">
        <f t="shared" si="45"/>
        <v>0</v>
      </c>
      <c r="J293">
        <f t="shared" si="46"/>
        <v>0</v>
      </c>
      <c r="K293">
        <f t="shared" si="47"/>
        <v>0</v>
      </c>
      <c r="L293">
        <f t="shared" si="48"/>
        <v>0</v>
      </c>
      <c r="M293">
        <f t="shared" si="49"/>
        <v>0</v>
      </c>
    </row>
    <row r="294" spans="1:13" x14ac:dyDescent="0.25">
      <c r="A294">
        <f>MTO_RAW!A294</f>
        <v>0</v>
      </c>
      <c r="B294">
        <f>MTO_RAW!C294</f>
        <v>0</v>
      </c>
      <c r="C294">
        <f>MTO_RAW!D294</f>
        <v>0</v>
      </c>
      <c r="D294">
        <f t="shared" si="40"/>
        <v>0</v>
      </c>
      <c r="E294">
        <f t="shared" si="41"/>
        <v>0</v>
      </c>
      <c r="F294">
        <f t="shared" si="42"/>
        <v>0</v>
      </c>
      <c r="G294">
        <f t="shared" si="43"/>
        <v>0</v>
      </c>
      <c r="H294">
        <f t="shared" si="44"/>
        <v>0</v>
      </c>
      <c r="I294">
        <f t="shared" si="45"/>
        <v>0</v>
      </c>
      <c r="J294">
        <f t="shared" si="46"/>
        <v>0</v>
      </c>
      <c r="K294">
        <f t="shared" si="47"/>
        <v>0</v>
      </c>
      <c r="L294">
        <f t="shared" si="48"/>
        <v>0</v>
      </c>
      <c r="M294">
        <f t="shared" si="49"/>
        <v>0</v>
      </c>
    </row>
    <row r="295" spans="1:13" x14ac:dyDescent="0.25">
      <c r="A295">
        <f>MTO_RAW!A295</f>
        <v>0</v>
      </c>
      <c r="B295">
        <f>MTO_RAW!C295</f>
        <v>0</v>
      </c>
      <c r="C295">
        <f>MTO_RAW!D295</f>
        <v>0</v>
      </c>
      <c r="D295">
        <f t="shared" si="40"/>
        <v>0</v>
      </c>
      <c r="E295">
        <f t="shared" si="41"/>
        <v>0</v>
      </c>
      <c r="F295">
        <f t="shared" si="42"/>
        <v>0</v>
      </c>
      <c r="G295">
        <f t="shared" si="43"/>
        <v>0</v>
      </c>
      <c r="H295">
        <f t="shared" si="44"/>
        <v>0</v>
      </c>
      <c r="I295">
        <f t="shared" si="45"/>
        <v>0</v>
      </c>
      <c r="J295">
        <f t="shared" si="46"/>
        <v>0</v>
      </c>
      <c r="K295">
        <f t="shared" si="47"/>
        <v>0</v>
      </c>
      <c r="L295">
        <f t="shared" si="48"/>
        <v>0</v>
      </c>
      <c r="M295">
        <f t="shared" si="49"/>
        <v>0</v>
      </c>
    </row>
    <row r="296" spans="1:13" x14ac:dyDescent="0.25">
      <c r="A296">
        <f>MTO_RAW!A296</f>
        <v>0</v>
      </c>
      <c r="B296">
        <f>MTO_RAW!C296</f>
        <v>0</v>
      </c>
      <c r="C296">
        <f>MTO_RAW!D296</f>
        <v>0</v>
      </c>
      <c r="D296">
        <f t="shared" si="40"/>
        <v>0</v>
      </c>
      <c r="E296">
        <f t="shared" si="41"/>
        <v>0</v>
      </c>
      <c r="F296">
        <f t="shared" si="42"/>
        <v>0</v>
      </c>
      <c r="G296">
        <f t="shared" si="43"/>
        <v>0</v>
      </c>
      <c r="H296">
        <f t="shared" si="44"/>
        <v>0</v>
      </c>
      <c r="I296">
        <f t="shared" si="45"/>
        <v>0</v>
      </c>
      <c r="J296">
        <f t="shared" si="46"/>
        <v>0</v>
      </c>
      <c r="K296">
        <f t="shared" si="47"/>
        <v>0</v>
      </c>
      <c r="L296">
        <f t="shared" si="48"/>
        <v>0</v>
      </c>
      <c r="M296">
        <f t="shared" si="49"/>
        <v>0</v>
      </c>
    </row>
    <row r="297" spans="1:13" x14ac:dyDescent="0.25">
      <c r="A297">
        <f>MTO_RAW!A297</f>
        <v>0</v>
      </c>
      <c r="B297">
        <f>MTO_RAW!C297</f>
        <v>0</v>
      </c>
      <c r="C297">
        <f>MTO_RAW!D297</f>
        <v>0</v>
      </c>
      <c r="D297">
        <f t="shared" si="40"/>
        <v>0</v>
      </c>
      <c r="E297">
        <f t="shared" si="41"/>
        <v>0</v>
      </c>
      <c r="F297">
        <f t="shared" si="42"/>
        <v>0</v>
      </c>
      <c r="G297">
        <f t="shared" si="43"/>
        <v>0</v>
      </c>
      <c r="H297">
        <f t="shared" si="44"/>
        <v>0</v>
      </c>
      <c r="I297">
        <f t="shared" si="45"/>
        <v>0</v>
      </c>
      <c r="J297">
        <f t="shared" si="46"/>
        <v>0</v>
      </c>
      <c r="K297">
        <f t="shared" si="47"/>
        <v>0</v>
      </c>
      <c r="L297">
        <f t="shared" si="48"/>
        <v>0</v>
      </c>
      <c r="M297">
        <f t="shared" si="49"/>
        <v>0</v>
      </c>
    </row>
    <row r="298" spans="1:13" x14ac:dyDescent="0.25">
      <c r="A298">
        <f>MTO_RAW!A298</f>
        <v>0</v>
      </c>
      <c r="B298">
        <f>MTO_RAW!C298</f>
        <v>0</v>
      </c>
      <c r="C298">
        <f>MTO_RAW!D298</f>
        <v>0</v>
      </c>
      <c r="D298">
        <f t="shared" si="40"/>
        <v>0</v>
      </c>
      <c r="E298">
        <f t="shared" si="41"/>
        <v>0</v>
      </c>
      <c r="F298">
        <f t="shared" si="42"/>
        <v>0</v>
      </c>
      <c r="G298">
        <f t="shared" si="43"/>
        <v>0</v>
      </c>
      <c r="H298">
        <f t="shared" si="44"/>
        <v>0</v>
      </c>
      <c r="I298">
        <f t="shared" si="45"/>
        <v>0</v>
      </c>
      <c r="J298">
        <f t="shared" si="46"/>
        <v>0</v>
      </c>
      <c r="K298">
        <f t="shared" si="47"/>
        <v>0</v>
      </c>
      <c r="L298">
        <f t="shared" si="48"/>
        <v>0</v>
      </c>
      <c r="M298">
        <f t="shared" si="49"/>
        <v>0</v>
      </c>
    </row>
    <row r="299" spans="1:13" x14ac:dyDescent="0.25">
      <c r="A299">
        <f>MTO_RAW!A299</f>
        <v>0</v>
      </c>
      <c r="B299">
        <f>MTO_RAW!C299</f>
        <v>0</v>
      </c>
      <c r="C299">
        <f>MTO_RAW!D299</f>
        <v>0</v>
      </c>
      <c r="D299">
        <f t="shared" si="40"/>
        <v>0</v>
      </c>
      <c r="E299">
        <f t="shared" si="41"/>
        <v>0</v>
      </c>
      <c r="F299">
        <f t="shared" si="42"/>
        <v>0</v>
      </c>
      <c r="G299">
        <f t="shared" si="43"/>
        <v>0</v>
      </c>
      <c r="H299">
        <f t="shared" si="44"/>
        <v>0</v>
      </c>
      <c r="I299">
        <f t="shared" si="45"/>
        <v>0</v>
      </c>
      <c r="J299">
        <f t="shared" si="46"/>
        <v>0</v>
      </c>
      <c r="K299">
        <f t="shared" si="47"/>
        <v>0</v>
      </c>
      <c r="L299">
        <f t="shared" si="48"/>
        <v>0</v>
      </c>
      <c r="M299">
        <f t="shared" si="49"/>
        <v>0</v>
      </c>
    </row>
    <row r="305" spans="9:13" x14ac:dyDescent="0.25">
      <c r="I305" t="s">
        <v>13</v>
      </c>
      <c r="J305">
        <f>SUM(J2:J300)</f>
        <v>6809.6928800000005</v>
      </c>
      <c r="K305">
        <f>SUM(K2:K300)</f>
        <v>28293.711039999998</v>
      </c>
      <c r="L305">
        <f>SUM(L2:L300)</f>
        <v>66075.482208000001</v>
      </c>
      <c r="M305">
        <f>SUM(M2:M300)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C12" sqref="C12"/>
    </sheetView>
  </sheetViews>
  <sheetFormatPr defaultRowHeight="15" x14ac:dyDescent="0.25"/>
  <cols>
    <col min="1" max="1" width="9.5703125" bestFit="1" customWidth="1"/>
    <col min="2" max="2" width="12" bestFit="1" customWidth="1"/>
    <col min="3" max="3" width="17.5703125" bestFit="1" customWidth="1"/>
    <col min="4" max="4" width="12" bestFit="1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x14ac:dyDescent="0.25">
      <c r="A2" t="s">
        <v>18</v>
      </c>
      <c r="B2">
        <f>PG_CALC!J305/1000</f>
        <v>6.8096928800000009</v>
      </c>
      <c r="C2">
        <f>B2*1.1</f>
        <v>7.4906621680000018</v>
      </c>
      <c r="D2">
        <f>C2/2.51</f>
        <v>2.9843275569721124</v>
      </c>
    </row>
    <row r="3" spans="1:4" x14ac:dyDescent="0.25">
      <c r="A3" t="s">
        <v>19</v>
      </c>
      <c r="B3">
        <f>PG_CALC!K305/1000</f>
        <v>28.293711039999998</v>
      </c>
      <c r="C3">
        <f>B3*1.1</f>
        <v>31.123082144000001</v>
      </c>
      <c r="D3">
        <f>C3/3.14</f>
        <v>9.9118095999999998</v>
      </c>
    </row>
    <row r="4" spans="1:4" x14ac:dyDescent="0.25">
      <c r="A4" t="s">
        <v>20</v>
      </c>
      <c r="B4">
        <f>PG_CALC!L305/1000</f>
        <v>66.075482207999997</v>
      </c>
      <c r="C4">
        <f>B4*1.1</f>
        <v>72.683030428800009</v>
      </c>
      <c r="D4">
        <f>C4/6.03</f>
        <v>12.053570552039803</v>
      </c>
    </row>
    <row r="5" spans="1:4" x14ac:dyDescent="0.25">
      <c r="A5" t="s">
        <v>21</v>
      </c>
      <c r="B5">
        <f>PG_CALC!M305/1000</f>
        <v>0</v>
      </c>
      <c r="C5">
        <f>B5*1.1</f>
        <v>0</v>
      </c>
      <c r="D5">
        <f>C5/7.54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G8" sqref="G8"/>
    </sheetView>
  </sheetViews>
  <sheetFormatPr defaultRowHeight="15" x14ac:dyDescent="0.25"/>
  <cols>
    <col min="1" max="1" width="11.28515625" bestFit="1" customWidth="1"/>
    <col min="2" max="2" width="16.28515625" bestFit="1" customWidth="1"/>
  </cols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>
        <f>SUMIF(MTO_RAW!A:A,"*IS*",MTO_RAW!E:E)</f>
        <v>5082.2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MTO_RAW</vt:lpstr>
      <vt:lpstr>PG_CALC</vt:lpstr>
      <vt:lpstr>PLATE_INDENT</vt:lpstr>
      <vt:lpstr>HR_SUMMARY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MILIND KALE</cp:lastModifiedBy>
  <dcterms:created xsi:type="dcterms:W3CDTF">2026-03-28T07:28:22Z</dcterms:created>
  <dcterms:modified xsi:type="dcterms:W3CDTF">2026-03-28T07:46:26Z</dcterms:modified>
</cp:coreProperties>
</file>